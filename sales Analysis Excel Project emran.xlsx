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AMED SOFTWARE\Desktop\"/>
    </mc:Choice>
  </mc:AlternateContent>
  <xr:revisionPtr revIDLastSave="0" documentId="13_ncr:1_{2E10F780-BA4E-4C95-B09B-DB2EBCC1CA68}" xr6:coauthVersionLast="47" xr6:coauthVersionMax="47" xr10:uidLastSave="{00000000-0000-0000-0000-000000000000}"/>
  <bookViews>
    <workbookView xWindow="-108" yWindow="-108" windowWidth="23256" windowHeight="12456" xr2:uid="{00000000-000D-0000-FFFF-FFFF00000000}"/>
  </bookViews>
  <sheets>
    <sheet name="Raw Data" sheetId="18" r:id="rId1"/>
    <sheet name="Cleaned Data" sheetId="2" r:id="rId2"/>
    <sheet name="Analysis" sheetId="3" r:id="rId3"/>
    <sheet name="Dashboard" sheetId="12" r:id="rId4"/>
    <sheet name="Insights" sheetId="17" r:id="rId5"/>
  </sheets>
  <definedNames>
    <definedName name="_xlnm._FilterDatabase" localSheetId="1" hidden="1">'Cleaned Data'!#REF!</definedName>
    <definedName name="_xlnm._FilterDatabase" localSheetId="3" hidden="1">Dashboard!$B$4:$B$10</definedName>
    <definedName name="Slicer_Channel">#N/A</definedName>
    <definedName name="Slicer_Produc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3" l="1"/>
  <c r="C6" i="3"/>
  <c r="C5" i="3"/>
  <c r="C4" i="3"/>
  <c r="C3" i="3"/>
  <c r="C2" i="3"/>
  <c r="C7" i="3" l="1"/>
  <c r="C8" i="3"/>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alcChain>
</file>

<file path=xl/sharedStrings.xml><?xml version="1.0" encoding="utf-8"?>
<sst xmlns="http://schemas.openxmlformats.org/spreadsheetml/2006/main" count="4183" uniqueCount="593">
  <si>
    <t>Order ID</t>
  </si>
  <si>
    <t>Date</t>
  </si>
  <si>
    <t>Region</t>
  </si>
  <si>
    <t>Channel</t>
  </si>
  <si>
    <t>Product</t>
  </si>
  <si>
    <t>Units</t>
  </si>
  <si>
    <t>Unit Price</t>
  </si>
  <si>
    <t>Discount</t>
  </si>
  <si>
    <t>Revenue</t>
  </si>
  <si>
    <t>Cost</t>
  </si>
  <si>
    <t>Profit</t>
  </si>
  <si>
    <t>SO-10001</t>
  </si>
  <si>
    <t>South</t>
  </si>
  <si>
    <t>Retail</t>
  </si>
  <si>
    <t>Office Chair</t>
  </si>
  <si>
    <t>SO-10002</t>
  </si>
  <si>
    <t>North</t>
  </si>
  <si>
    <t>Website</t>
  </si>
  <si>
    <t>Laptop</t>
  </si>
  <si>
    <t>SO-10003</t>
  </si>
  <si>
    <t>SO-10004</t>
  </si>
  <si>
    <t>East</t>
  </si>
  <si>
    <t>Headset</t>
  </si>
  <si>
    <t>SO-10005</t>
  </si>
  <si>
    <t>Desk Lamp</t>
  </si>
  <si>
    <t>SO-10006</t>
  </si>
  <si>
    <t>Webcam</t>
  </si>
  <si>
    <t>SO-10007</t>
  </si>
  <si>
    <t>West</t>
  </si>
  <si>
    <t>Mouse</t>
  </si>
  <si>
    <t>SO-10008</t>
  </si>
  <si>
    <t>Keyboard</t>
  </si>
  <si>
    <t>SO-10009</t>
  </si>
  <si>
    <t>Marketplace</t>
  </si>
  <si>
    <t>Monitor</t>
  </si>
  <si>
    <t>SO-10010</t>
  </si>
  <si>
    <t>SO-10011</t>
  </si>
  <si>
    <t>SO-10012</t>
  </si>
  <si>
    <t>SO-10013</t>
  </si>
  <si>
    <t>SO-10014</t>
  </si>
  <si>
    <t>SO-10015</t>
  </si>
  <si>
    <t>SO-10016</t>
  </si>
  <si>
    <t>SO-10017</t>
  </si>
  <si>
    <t>SO-10018</t>
  </si>
  <si>
    <t>SO-10019</t>
  </si>
  <si>
    <t>SO-10020</t>
  </si>
  <si>
    <t>SO-10021</t>
  </si>
  <si>
    <t>SO-10022</t>
  </si>
  <si>
    <t>SO-10023</t>
  </si>
  <si>
    <t>SO-10024</t>
  </si>
  <si>
    <t>SO-10025</t>
  </si>
  <si>
    <t>SO-10026</t>
  </si>
  <si>
    <t>SO-10027</t>
  </si>
  <si>
    <t>SO-10028</t>
  </si>
  <si>
    <t>SO-10029</t>
  </si>
  <si>
    <t>SO-10030</t>
  </si>
  <si>
    <t>SO-10031</t>
  </si>
  <si>
    <t>SO-10032</t>
  </si>
  <si>
    <t>SO-10033</t>
  </si>
  <si>
    <t>SO-10034</t>
  </si>
  <si>
    <t>SO-10035</t>
  </si>
  <si>
    <t>SO-10036</t>
  </si>
  <si>
    <t>SO-10037</t>
  </si>
  <si>
    <t>SO-10038</t>
  </si>
  <si>
    <t>SO-10039</t>
  </si>
  <si>
    <t>SO-10040</t>
  </si>
  <si>
    <t>SO-10041</t>
  </si>
  <si>
    <t>SO-10042</t>
  </si>
  <si>
    <t>SO-10043</t>
  </si>
  <si>
    <t>SO-10044</t>
  </si>
  <si>
    <t>SO-10045</t>
  </si>
  <si>
    <t>SO-10046</t>
  </si>
  <si>
    <t>SO-10047</t>
  </si>
  <si>
    <t>SO-10048</t>
  </si>
  <si>
    <t>SO-10049</t>
  </si>
  <si>
    <t>SO-10050</t>
  </si>
  <si>
    <t>SO-10051</t>
  </si>
  <si>
    <t>SO-10052</t>
  </si>
  <si>
    <t>SO-10053</t>
  </si>
  <si>
    <t>SO-10054</t>
  </si>
  <si>
    <t>SO-10055</t>
  </si>
  <si>
    <t>SO-10056</t>
  </si>
  <si>
    <t>SO-10057</t>
  </si>
  <si>
    <t>SO-10058</t>
  </si>
  <si>
    <t>SO-10059</t>
  </si>
  <si>
    <t>SO-10060</t>
  </si>
  <si>
    <t>SO-10061</t>
  </si>
  <si>
    <t>SO-10062</t>
  </si>
  <si>
    <t>SO-10063</t>
  </si>
  <si>
    <t>SO-10064</t>
  </si>
  <si>
    <t>SO-10065</t>
  </si>
  <si>
    <t>SO-10066</t>
  </si>
  <si>
    <t>SO-10067</t>
  </si>
  <si>
    <t>SO-10068</t>
  </si>
  <si>
    <t>SO-10069</t>
  </si>
  <si>
    <t>SO-10070</t>
  </si>
  <si>
    <t>SO-10071</t>
  </si>
  <si>
    <t>SO-10072</t>
  </si>
  <si>
    <t>SO-10073</t>
  </si>
  <si>
    <t>SO-10074</t>
  </si>
  <si>
    <t>SO-10075</t>
  </si>
  <si>
    <t>SO-10076</t>
  </si>
  <si>
    <t>SO-10077</t>
  </si>
  <si>
    <t>SO-10078</t>
  </si>
  <si>
    <t>SO-10079</t>
  </si>
  <si>
    <t>SO-10080</t>
  </si>
  <si>
    <t>SO-10081</t>
  </si>
  <si>
    <t>SO-10082</t>
  </si>
  <si>
    <t>SO-10083</t>
  </si>
  <si>
    <t>SO-10084</t>
  </si>
  <si>
    <t>SO-10085</t>
  </si>
  <si>
    <t>SO-10086</t>
  </si>
  <si>
    <t>SO-10087</t>
  </si>
  <si>
    <t>SO-10088</t>
  </si>
  <si>
    <t>SO-10089</t>
  </si>
  <si>
    <t>SO-10090</t>
  </si>
  <si>
    <t>SO-10091</t>
  </si>
  <si>
    <t>SO-10092</t>
  </si>
  <si>
    <t>SO-10093</t>
  </si>
  <si>
    <t>SO-10094</t>
  </si>
  <si>
    <t>SO-10095</t>
  </si>
  <si>
    <t>SO-10096</t>
  </si>
  <si>
    <t>SO-10097</t>
  </si>
  <si>
    <t>SO-10098</t>
  </si>
  <si>
    <t>SO-10099</t>
  </si>
  <si>
    <t>SO-10100</t>
  </si>
  <si>
    <t>SO-10101</t>
  </si>
  <si>
    <t>SO-10102</t>
  </si>
  <si>
    <t>SO-10103</t>
  </si>
  <si>
    <t>SO-10104</t>
  </si>
  <si>
    <t>SO-10105</t>
  </si>
  <si>
    <t>SO-10106</t>
  </si>
  <si>
    <t>SO-10107</t>
  </si>
  <si>
    <t>SO-10108</t>
  </si>
  <si>
    <t>SO-10109</t>
  </si>
  <si>
    <t>SO-10110</t>
  </si>
  <si>
    <t>SO-10111</t>
  </si>
  <si>
    <t>SO-10112</t>
  </si>
  <si>
    <t>SO-10113</t>
  </si>
  <si>
    <t>SO-10114</t>
  </si>
  <si>
    <t>SO-10115</t>
  </si>
  <si>
    <t>SO-10116</t>
  </si>
  <si>
    <t>SO-10117</t>
  </si>
  <si>
    <t>SO-10118</t>
  </si>
  <si>
    <t>SO-10119</t>
  </si>
  <si>
    <t>SO-10120</t>
  </si>
  <si>
    <t>SO-10121</t>
  </si>
  <si>
    <t>SO-10122</t>
  </si>
  <si>
    <t>SO-10123</t>
  </si>
  <si>
    <t>SO-10124</t>
  </si>
  <si>
    <t>SO-10125</t>
  </si>
  <si>
    <t>SO-10126</t>
  </si>
  <si>
    <t>SO-10127</t>
  </si>
  <si>
    <t>SO-10128</t>
  </si>
  <si>
    <t>SO-10129</t>
  </si>
  <si>
    <t>SO-10130</t>
  </si>
  <si>
    <t>SO-10131</t>
  </si>
  <si>
    <t>SO-10132</t>
  </si>
  <si>
    <t>SO-10133</t>
  </si>
  <si>
    <t>SO-10134</t>
  </si>
  <si>
    <t>SO-10135</t>
  </si>
  <si>
    <t>SO-10136</t>
  </si>
  <si>
    <t>SO-10137</t>
  </si>
  <si>
    <t>SO-10138</t>
  </si>
  <si>
    <t>SO-10139</t>
  </si>
  <si>
    <t>SO-10140</t>
  </si>
  <si>
    <t>SO-10141</t>
  </si>
  <si>
    <t>SO-10142</t>
  </si>
  <si>
    <t>SO-10143</t>
  </si>
  <si>
    <t>SO-10144</t>
  </si>
  <si>
    <t>SO-10145</t>
  </si>
  <si>
    <t>SO-10146</t>
  </si>
  <si>
    <t>SO-10147</t>
  </si>
  <si>
    <t>SO-10148</t>
  </si>
  <si>
    <t>SO-10149</t>
  </si>
  <si>
    <t>SO-10150</t>
  </si>
  <si>
    <t>SO-10151</t>
  </si>
  <si>
    <t>SO-10152</t>
  </si>
  <si>
    <t>SO-10153</t>
  </si>
  <si>
    <t>SO-10154</t>
  </si>
  <si>
    <t>SO-10155</t>
  </si>
  <si>
    <t>SO-10156</t>
  </si>
  <si>
    <t>SO-10157</t>
  </si>
  <si>
    <t>SO-10158</t>
  </si>
  <si>
    <t>SO-10159</t>
  </si>
  <si>
    <t>SO-10160</t>
  </si>
  <si>
    <t>SO-10161</t>
  </si>
  <si>
    <t>SO-10162</t>
  </si>
  <si>
    <t>SO-10163</t>
  </si>
  <si>
    <t>SO-10164</t>
  </si>
  <si>
    <t>SO-10165</t>
  </si>
  <si>
    <t>SO-10166</t>
  </si>
  <si>
    <t>SO-10167</t>
  </si>
  <si>
    <t>SO-10168</t>
  </si>
  <si>
    <t>SO-10169</t>
  </si>
  <si>
    <t>SO-10170</t>
  </si>
  <si>
    <t>SO-10171</t>
  </si>
  <si>
    <t>SO-10172</t>
  </si>
  <si>
    <t>SO-10173</t>
  </si>
  <si>
    <t>SO-10174</t>
  </si>
  <si>
    <t>SO-10175</t>
  </si>
  <si>
    <t>SO-10176</t>
  </si>
  <si>
    <t>SO-10177</t>
  </si>
  <si>
    <t>SO-10178</t>
  </si>
  <si>
    <t>SO-10179</t>
  </si>
  <si>
    <t>SO-10180</t>
  </si>
  <si>
    <t>SO-10181</t>
  </si>
  <si>
    <t>SO-10182</t>
  </si>
  <si>
    <t>SO-10183</t>
  </si>
  <si>
    <t>SO-10184</t>
  </si>
  <si>
    <t>SO-10185</t>
  </si>
  <si>
    <t>SO-10186</t>
  </si>
  <si>
    <t>SO-10187</t>
  </si>
  <si>
    <t>SO-10188</t>
  </si>
  <si>
    <t>SO-10189</t>
  </si>
  <si>
    <t>SO-10190</t>
  </si>
  <si>
    <t>SO-10191</t>
  </si>
  <si>
    <t>SO-10192</t>
  </si>
  <si>
    <t>SO-10193</t>
  </si>
  <si>
    <t>SO-10194</t>
  </si>
  <si>
    <t>SO-10195</t>
  </si>
  <si>
    <t>SO-10196</t>
  </si>
  <si>
    <t>SO-10197</t>
  </si>
  <si>
    <t>SO-10198</t>
  </si>
  <si>
    <t>SO-10199</t>
  </si>
  <si>
    <t>SO-10200</t>
  </si>
  <si>
    <t>SO-10201</t>
  </si>
  <si>
    <t>SO-10202</t>
  </si>
  <si>
    <t>SO-10203</t>
  </si>
  <si>
    <t>SO-10204</t>
  </si>
  <si>
    <t>SO-10205</t>
  </si>
  <si>
    <t>SO-10206</t>
  </si>
  <si>
    <t>SO-10207</t>
  </si>
  <si>
    <t>SO-10208</t>
  </si>
  <si>
    <t>SO-10209</t>
  </si>
  <si>
    <t>SO-10210</t>
  </si>
  <si>
    <t>SO-10211</t>
  </si>
  <si>
    <t>SO-10212</t>
  </si>
  <si>
    <t>SO-10213</t>
  </si>
  <si>
    <t>SO-10214</t>
  </si>
  <si>
    <t>SO-10215</t>
  </si>
  <si>
    <t>SO-10216</t>
  </si>
  <si>
    <t>SO-10217</t>
  </si>
  <si>
    <t>SO-10218</t>
  </si>
  <si>
    <t>SO-10219</t>
  </si>
  <si>
    <t>SO-10220</t>
  </si>
  <si>
    <t>SO-10221</t>
  </si>
  <si>
    <t>SO-10222</t>
  </si>
  <si>
    <t>SO-10223</t>
  </si>
  <si>
    <t>SO-10224</t>
  </si>
  <si>
    <t>SO-10225</t>
  </si>
  <si>
    <t>SO-10226</t>
  </si>
  <si>
    <t>SO-10227</t>
  </si>
  <si>
    <t>SO-10228</t>
  </si>
  <si>
    <t>SO-10229</t>
  </si>
  <si>
    <t>SO-10230</t>
  </si>
  <si>
    <t>SO-10231</t>
  </si>
  <si>
    <t>SO-10232</t>
  </si>
  <si>
    <t>SO-10233</t>
  </si>
  <si>
    <t>SO-10234</t>
  </si>
  <si>
    <t>SO-10235</t>
  </si>
  <si>
    <t>SO-10236</t>
  </si>
  <si>
    <t>SO-10237</t>
  </si>
  <si>
    <t>SO-10238</t>
  </si>
  <si>
    <t>SO-10239</t>
  </si>
  <si>
    <t>SO-10240</t>
  </si>
  <si>
    <t>SO-10241</t>
  </si>
  <si>
    <t>SO-10242</t>
  </si>
  <si>
    <t>SO-10243</t>
  </si>
  <si>
    <t>SO-10244</t>
  </si>
  <si>
    <t>SO-10245</t>
  </si>
  <si>
    <t>SO-10246</t>
  </si>
  <si>
    <t>SO-10247</t>
  </si>
  <si>
    <t>SO-10248</t>
  </si>
  <si>
    <t>SO-10249</t>
  </si>
  <si>
    <t>SO-10250</t>
  </si>
  <si>
    <t>SO-10251</t>
  </si>
  <si>
    <t>SO-10252</t>
  </si>
  <si>
    <t>SO-10253</t>
  </si>
  <si>
    <t>SO-10254</t>
  </si>
  <si>
    <t>SO-10255</t>
  </si>
  <si>
    <t>SO-10256</t>
  </si>
  <si>
    <t>SO-10257</t>
  </si>
  <si>
    <t>SO-10258</t>
  </si>
  <si>
    <t>SO-10259</t>
  </si>
  <si>
    <t>SO-10260</t>
  </si>
  <si>
    <t>SO-10261</t>
  </si>
  <si>
    <t>SO-10262</t>
  </si>
  <si>
    <t>SO-10263</t>
  </si>
  <si>
    <t>SO-10264</t>
  </si>
  <si>
    <t>SO-10265</t>
  </si>
  <si>
    <t>SO-10266</t>
  </si>
  <si>
    <t>SO-10267</t>
  </si>
  <si>
    <t>SO-10268</t>
  </si>
  <si>
    <t>SO-10269</t>
  </si>
  <si>
    <t>SO-10270</t>
  </si>
  <si>
    <t>SO-10271</t>
  </si>
  <si>
    <t>SO-10272</t>
  </si>
  <si>
    <t>SO-10273</t>
  </si>
  <si>
    <t>SO-10274</t>
  </si>
  <si>
    <t>SO-10275</t>
  </si>
  <si>
    <t>SO-10276</t>
  </si>
  <si>
    <t>SO-10277</t>
  </si>
  <si>
    <t>SO-10278</t>
  </si>
  <si>
    <t>SO-10279</t>
  </si>
  <si>
    <t>SO-10280</t>
  </si>
  <si>
    <t>SO-10281</t>
  </si>
  <si>
    <t>SO-10282</t>
  </si>
  <si>
    <t>SO-10283</t>
  </si>
  <si>
    <t>SO-10284</t>
  </si>
  <si>
    <t>SO-10285</t>
  </si>
  <si>
    <t>SO-10286</t>
  </si>
  <si>
    <t>SO-10287</t>
  </si>
  <si>
    <t>SO-10288</t>
  </si>
  <si>
    <t>SO-10289</t>
  </si>
  <si>
    <t>SO-10290</t>
  </si>
  <si>
    <t>SO-10291</t>
  </si>
  <si>
    <t>SO-10292</t>
  </si>
  <si>
    <t>SO-10293</t>
  </si>
  <si>
    <t>SO-10294</t>
  </si>
  <si>
    <t>SO-10295</t>
  </si>
  <si>
    <t>SO-10296</t>
  </si>
  <si>
    <t>SO-10297</t>
  </si>
  <si>
    <t>SO-10298</t>
  </si>
  <si>
    <t>SO-10299</t>
  </si>
  <si>
    <t>SO-10300</t>
  </si>
  <si>
    <t>SO-10301</t>
  </si>
  <si>
    <t>SO-10302</t>
  </si>
  <si>
    <t>SO-10303</t>
  </si>
  <si>
    <t>SO-10304</t>
  </si>
  <si>
    <t>SO-10305</t>
  </si>
  <si>
    <t>SO-10306</t>
  </si>
  <si>
    <t>SO-10307</t>
  </si>
  <si>
    <t>SO-10308</t>
  </si>
  <si>
    <t>SO-10309</t>
  </si>
  <si>
    <t>SO-10310</t>
  </si>
  <si>
    <t>SO-10311</t>
  </si>
  <si>
    <t>SO-10312</t>
  </si>
  <si>
    <t>SO-10313</t>
  </si>
  <si>
    <t>SO-10314</t>
  </si>
  <si>
    <t>SO-10315</t>
  </si>
  <si>
    <t>SO-10316</t>
  </si>
  <si>
    <t>SO-10317</t>
  </si>
  <si>
    <t>SO-10318</t>
  </si>
  <si>
    <t>SO-10319</t>
  </si>
  <si>
    <t>SO-10320</t>
  </si>
  <si>
    <t>SO-10321</t>
  </si>
  <si>
    <t>SO-10322</t>
  </si>
  <si>
    <t>SO-10323</t>
  </si>
  <si>
    <t>SO-10324</t>
  </si>
  <si>
    <t>SO-10325</t>
  </si>
  <si>
    <t>SO-10326</t>
  </si>
  <si>
    <t>SO-10327</t>
  </si>
  <si>
    <t>SO-10328</t>
  </si>
  <si>
    <t>SO-10329</t>
  </si>
  <si>
    <t>SO-10330</t>
  </si>
  <si>
    <t>SO-10331</t>
  </si>
  <si>
    <t>SO-10332</t>
  </si>
  <si>
    <t>SO-10333</t>
  </si>
  <si>
    <t>SO-10334</t>
  </si>
  <si>
    <t>SO-10335</t>
  </si>
  <si>
    <t>SO-10336</t>
  </si>
  <si>
    <t>SO-10337</t>
  </si>
  <si>
    <t>SO-10338</t>
  </si>
  <si>
    <t>SO-10339</t>
  </si>
  <si>
    <t>SO-10340</t>
  </si>
  <si>
    <t>SO-10341</t>
  </si>
  <si>
    <t>SO-10342</t>
  </si>
  <si>
    <t>SO-10343</t>
  </si>
  <si>
    <t>SO-10344</t>
  </si>
  <si>
    <t>SO-10345</t>
  </si>
  <si>
    <t>SO-10346</t>
  </si>
  <si>
    <t>SO-10347</t>
  </si>
  <si>
    <t>SO-10348</t>
  </si>
  <si>
    <t>SO-10349</t>
  </si>
  <si>
    <t>SO-10350</t>
  </si>
  <si>
    <t>SO-10351</t>
  </si>
  <si>
    <t>SO-10352</t>
  </si>
  <si>
    <t>SO-10353</t>
  </si>
  <si>
    <t>SO-10354</t>
  </si>
  <si>
    <t>SO-10355</t>
  </si>
  <si>
    <t>SO-10356</t>
  </si>
  <si>
    <t>SO-10357</t>
  </si>
  <si>
    <t>SO-10358</t>
  </si>
  <si>
    <t>SO-10359</t>
  </si>
  <si>
    <t>SO-10360</t>
  </si>
  <si>
    <t>SO-10361</t>
  </si>
  <si>
    <t>SO-10362</t>
  </si>
  <si>
    <t>SO-10363</t>
  </si>
  <si>
    <t>SO-10364</t>
  </si>
  <si>
    <t>SO-10365</t>
  </si>
  <si>
    <t>SO-10366</t>
  </si>
  <si>
    <t>SO-10367</t>
  </si>
  <si>
    <t>SO-10368</t>
  </si>
  <si>
    <t>SO-10369</t>
  </si>
  <si>
    <t>SO-10370</t>
  </si>
  <si>
    <t>SO-10371</t>
  </si>
  <si>
    <t>SO-10372</t>
  </si>
  <si>
    <t>SO-10373</t>
  </si>
  <si>
    <t>SO-10374</t>
  </si>
  <si>
    <t>SO-10375</t>
  </si>
  <si>
    <t>SO-10376</t>
  </si>
  <si>
    <t>SO-10377</t>
  </si>
  <si>
    <t>SO-10378</t>
  </si>
  <si>
    <t>SO-10379</t>
  </si>
  <si>
    <t>SO-10380</t>
  </si>
  <si>
    <t>SO-10381</t>
  </si>
  <si>
    <t>SO-10382</t>
  </si>
  <si>
    <t>SO-10383</t>
  </si>
  <si>
    <t>SO-10384</t>
  </si>
  <si>
    <t>SO-10385</t>
  </si>
  <si>
    <t>SO-10386</t>
  </si>
  <si>
    <t>SO-10387</t>
  </si>
  <si>
    <t>SO-10388</t>
  </si>
  <si>
    <t>SO-10389</t>
  </si>
  <si>
    <t>SO-10390</t>
  </si>
  <si>
    <t>SO-10391</t>
  </si>
  <si>
    <t>SO-10392</t>
  </si>
  <si>
    <t>SO-10393</t>
  </si>
  <si>
    <t>SO-10394</t>
  </si>
  <si>
    <t>SO-10395</t>
  </si>
  <si>
    <t>SO-10396</t>
  </si>
  <si>
    <t>SO-10397</t>
  </si>
  <si>
    <t>SO-10398</t>
  </si>
  <si>
    <t>SO-10399</t>
  </si>
  <si>
    <t>SO-10400</t>
  </si>
  <si>
    <t>SO-10401</t>
  </si>
  <si>
    <t>SO-10402</t>
  </si>
  <si>
    <t>SO-10403</t>
  </si>
  <si>
    <t>SO-10404</t>
  </si>
  <si>
    <t>SO-10405</t>
  </si>
  <si>
    <t>SO-10406</t>
  </si>
  <si>
    <t>SO-10407</t>
  </si>
  <si>
    <t>SO-10408</t>
  </si>
  <si>
    <t>SO-10409</t>
  </si>
  <si>
    <t>SO-10410</t>
  </si>
  <si>
    <t>SO-10411</t>
  </si>
  <si>
    <t>SO-10412</t>
  </si>
  <si>
    <t>SO-10413</t>
  </si>
  <si>
    <t>SO-10414</t>
  </si>
  <si>
    <t>SO-10415</t>
  </si>
  <si>
    <t>SO-10416</t>
  </si>
  <si>
    <t>SO-10417</t>
  </si>
  <si>
    <t>SO-10418</t>
  </si>
  <si>
    <t>SO-10419</t>
  </si>
  <si>
    <t>SO-10420</t>
  </si>
  <si>
    <t>SO-10421</t>
  </si>
  <si>
    <t>SO-10422</t>
  </si>
  <si>
    <t>SO-10423</t>
  </si>
  <si>
    <t>SO-10424</t>
  </si>
  <si>
    <t>SO-10425</t>
  </si>
  <si>
    <t>SO-10426</t>
  </si>
  <si>
    <t>SO-10427</t>
  </si>
  <si>
    <t>SO-10428</t>
  </si>
  <si>
    <t>SO-10429</t>
  </si>
  <si>
    <t>SO-10430</t>
  </si>
  <si>
    <t>SO-10431</t>
  </si>
  <si>
    <t>SO-10432</t>
  </si>
  <si>
    <t>SO-10433</t>
  </si>
  <si>
    <t>SO-10434</t>
  </si>
  <si>
    <t>SO-10435</t>
  </si>
  <si>
    <t>SO-10436</t>
  </si>
  <si>
    <t>SO-10437</t>
  </si>
  <si>
    <t>SO-10438</t>
  </si>
  <si>
    <t>SO-10439</t>
  </si>
  <si>
    <t>SO-10440</t>
  </si>
  <si>
    <t>SO-10441</t>
  </si>
  <si>
    <t>SO-10442</t>
  </si>
  <si>
    <t>SO-10443</t>
  </si>
  <si>
    <t>SO-10444</t>
  </si>
  <si>
    <t>SO-10445</t>
  </si>
  <si>
    <t>SO-10446</t>
  </si>
  <si>
    <t>SO-10447</t>
  </si>
  <si>
    <t>SO-10448</t>
  </si>
  <si>
    <t>SO-10449</t>
  </si>
  <si>
    <t>SO-10450</t>
  </si>
  <si>
    <t>SO-10451</t>
  </si>
  <si>
    <t>SO-10452</t>
  </si>
  <si>
    <t>SO-10453</t>
  </si>
  <si>
    <t>SO-10454</t>
  </si>
  <si>
    <t>SO-10455</t>
  </si>
  <si>
    <t>SO-10456</t>
  </si>
  <si>
    <t>SO-10457</t>
  </si>
  <si>
    <t>SO-10458</t>
  </si>
  <si>
    <t>SO-10459</t>
  </si>
  <si>
    <t>SO-10460</t>
  </si>
  <si>
    <t>SO-10461</t>
  </si>
  <si>
    <t>SO-10462</t>
  </si>
  <si>
    <t>SO-10463</t>
  </si>
  <si>
    <t>SO-10464</t>
  </si>
  <si>
    <t>SO-10465</t>
  </si>
  <si>
    <t>SO-10466</t>
  </si>
  <si>
    <t>SO-10467</t>
  </si>
  <si>
    <t>SO-10468</t>
  </si>
  <si>
    <t>SO-10469</t>
  </si>
  <si>
    <t>SO-10470</t>
  </si>
  <si>
    <t>SO-10471</t>
  </si>
  <si>
    <t>SO-10472</t>
  </si>
  <si>
    <t>SO-10473</t>
  </si>
  <si>
    <t>SO-10474</t>
  </si>
  <si>
    <t>SO-10475</t>
  </si>
  <si>
    <t>SO-10476</t>
  </si>
  <si>
    <t>SO-10477</t>
  </si>
  <si>
    <t>SO-10478</t>
  </si>
  <si>
    <t>SO-10479</t>
  </si>
  <si>
    <t>SO-10480</t>
  </si>
  <si>
    <t>SO-10481</t>
  </si>
  <si>
    <t>SO-10482</t>
  </si>
  <si>
    <t>SO-10483</t>
  </si>
  <si>
    <t>SO-10484</t>
  </si>
  <si>
    <t>SO-10485</t>
  </si>
  <si>
    <t>SO-10486</t>
  </si>
  <si>
    <t>SO-10487</t>
  </si>
  <si>
    <t>SO-10488</t>
  </si>
  <si>
    <t>SO-10489</t>
  </si>
  <si>
    <t>SO-10490</t>
  </si>
  <si>
    <t>SO-10491</t>
  </si>
  <si>
    <t>SO-10492</t>
  </si>
  <si>
    <t>SO-10493</t>
  </si>
  <si>
    <t>SO-10494</t>
  </si>
  <si>
    <t>SO-10495</t>
  </si>
  <si>
    <t>SO-10496</t>
  </si>
  <si>
    <t>SO-10497</t>
  </si>
  <si>
    <t>SO-10498</t>
  </si>
  <si>
    <t>SO-10499</t>
  </si>
  <si>
    <t>SO-10500</t>
  </si>
  <si>
    <t>TOTAL REVENUE</t>
  </si>
  <si>
    <t>TOTAL COST</t>
  </si>
  <si>
    <t>TOTAL PROFIT</t>
  </si>
  <si>
    <t>TOTAL UNITS SOLD</t>
  </si>
  <si>
    <t>TOTAL ORDERS</t>
  </si>
  <si>
    <t>OVERALL PROFIT MARGIN</t>
  </si>
  <si>
    <t>AVERAGE ORDER VALUE</t>
  </si>
  <si>
    <t>AVERAGE DISCOUNT</t>
  </si>
  <si>
    <t>profit Margin</t>
  </si>
  <si>
    <t>Grand Total</t>
  </si>
  <si>
    <t>Jan</t>
  </si>
  <si>
    <t>Feb</t>
  </si>
  <si>
    <t>Mar</t>
  </si>
  <si>
    <t>Apr</t>
  </si>
  <si>
    <t>May</t>
  </si>
  <si>
    <t>Jun</t>
  </si>
  <si>
    <t>Jul</t>
  </si>
  <si>
    <t>Aug</t>
  </si>
  <si>
    <t>Sep</t>
  </si>
  <si>
    <t>Oct</t>
  </si>
  <si>
    <t>Nov</t>
  </si>
  <si>
    <t>Dec</t>
  </si>
  <si>
    <t>Sum of Revenue</t>
  </si>
  <si>
    <t>Sum of Profit</t>
  </si>
  <si>
    <t>Sum of Units</t>
  </si>
  <si>
    <t>MONTHLY</t>
  </si>
  <si>
    <t>Average of Unit Price</t>
  </si>
  <si>
    <t>CHANNEL</t>
  </si>
  <si>
    <t>REVIEW</t>
  </si>
  <si>
    <t>PRODUCT BY REVENUE</t>
  </si>
  <si>
    <t>PRODUCT BY PROFIT</t>
  </si>
  <si>
    <t>Worst 5 produts by Profit Margin</t>
  </si>
  <si>
    <t>DASHBOARD'S PIVOT TABLES</t>
  </si>
  <si>
    <t>Monthly Revenue</t>
  </si>
  <si>
    <t>Monthly Profit</t>
  </si>
  <si>
    <t>Top products</t>
  </si>
  <si>
    <t>Revenue by Region</t>
  </si>
  <si>
    <t xml:space="preserve">Channel </t>
  </si>
  <si>
    <t>INSIGHTS</t>
  </si>
  <si>
    <t>Months (Date)</t>
  </si>
  <si>
    <t xml:space="preserve"> Revenue</t>
  </si>
  <si>
    <t xml:space="preserve"> Profit</t>
  </si>
  <si>
    <t xml:space="preserve"> Units</t>
  </si>
  <si>
    <t xml:space="preserve"> Orders</t>
  </si>
  <si>
    <t>Percentage of Revenue</t>
  </si>
  <si>
    <t>RECOMMENDATION</t>
  </si>
  <si>
    <t>REVENUE</t>
  </si>
  <si>
    <t>PROFIT</t>
  </si>
  <si>
    <t>REGION</t>
  </si>
  <si>
    <t>PRODUCT</t>
  </si>
  <si>
    <t>ORDERS</t>
  </si>
  <si>
    <t>&gt;December generated the highest monthly revenue at $153,648</t>
  </si>
  <si>
    <t>&gt;East region generated the highest revenue at $375,375.</t>
  </si>
  <si>
    <t>&gt;December had the highest number of orders.</t>
  </si>
  <si>
    <t>&gt;Investigate what drove January's performance and replicate successful factors.</t>
  </si>
  <si>
    <t>&gt;Analyze the East region's sales strategy and apply successful practices elsewhere.</t>
  </si>
  <si>
    <t>&gt;Review pricing, discounts, and costs for this product.</t>
  </si>
  <si>
    <t>Sum of Profit m</t>
  </si>
  <si>
    <t>months</t>
  </si>
  <si>
    <t>Orders</t>
  </si>
  <si>
    <t>Profit Margin percentage</t>
  </si>
  <si>
    <t>CATEGORY</t>
  </si>
  <si>
    <t>&gt;Office Chair (product) generated the highest total profit at $67,651.</t>
  </si>
  <si>
    <t>&gt;Headset (product) generated the highest total revenue but a relatively low total prfit.</t>
  </si>
  <si>
    <t>&gt;Consider prioritizing the product in promotions and inventory planning.</t>
  </si>
  <si>
    <t>&gt;Examine whether promotions or seasonal demand contributed to the increase.</t>
  </si>
  <si>
    <t>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</si>
</sst>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
    <numFmt numFmtId="167" formatCode="&quot;$&quot;#,##0"/>
  </numFmts>
  <fonts count="29" x14ac:knownFonts="1">
    <font>
      <sz val="11"/>
      <color theme="1"/>
      <name val="Calibri"/>
      <family val="2"/>
      <scheme val="minor"/>
    </font>
    <font>
      <sz val="11"/>
      <color theme="1" tint="0.249977111117893"/>
      <name val="Segoe UI Variable Text Semibold"/>
    </font>
    <font>
      <sz val="11"/>
      <color theme="1" tint="0.249977111117893"/>
      <name val="Segoe UI Black"/>
      <family val="2"/>
    </font>
    <font>
      <sz val="10"/>
      <color theme="1" tint="0.249977111117893"/>
      <name val="Cascadia Mono SemiBold"/>
      <family val="3"/>
    </font>
    <font>
      <sz val="12"/>
      <color theme="1" tint="0.249977111117893"/>
      <name val="Segoe UI Black"/>
      <family val="2"/>
    </font>
    <font>
      <sz val="14"/>
      <color theme="1" tint="0.249977111117893"/>
      <name val="Segoe UI Variable Display Semib"/>
    </font>
    <font>
      <sz val="14"/>
      <color theme="1"/>
      <name val="Segoe UI Semibold"/>
      <family val="2"/>
    </font>
    <font>
      <sz val="14"/>
      <color theme="1" tint="0.14999847407452621"/>
      <name val="Segoe UI Variable Text Semibold"/>
    </font>
    <font>
      <sz val="14"/>
      <color theme="1" tint="0.249977111117893"/>
      <name val="Segoe UI Black"/>
      <family val="2"/>
    </font>
    <font>
      <sz val="12"/>
      <color theme="1"/>
      <name val="Segoe UI Variable Display Semib"/>
    </font>
    <font>
      <b/>
      <sz val="11"/>
      <color theme="1" tint="0.14999847407452621"/>
      <name val="Calibri"/>
      <family val="2"/>
    </font>
    <font>
      <sz val="10"/>
      <color theme="1"/>
      <name val="Segoe UI Variable Display Semib"/>
    </font>
    <font>
      <sz val="12"/>
      <color theme="1"/>
      <name val="Segoe UI Semibold"/>
      <family val="2"/>
    </font>
    <font>
      <sz val="12"/>
      <color theme="1"/>
      <name val="Calibri"/>
      <family val="2"/>
      <scheme val="minor"/>
    </font>
    <font>
      <sz val="11"/>
      <color rgb="FF245794"/>
      <name val="Segoe UI Black"/>
      <family val="2"/>
    </font>
    <font>
      <b/>
      <sz val="11"/>
      <color rgb="FF245794"/>
      <name val="Segoe UI Semibold"/>
      <family val="2"/>
    </font>
    <font>
      <sz val="11"/>
      <color rgb="FF245794"/>
      <name val="Calibri"/>
      <family val="2"/>
      <scheme val="minor"/>
    </font>
    <font>
      <b/>
      <sz val="11"/>
      <color rgb="FF21518B"/>
      <name val="Segoe UI Semibold"/>
      <family val="2"/>
    </font>
    <font>
      <b/>
      <sz val="10"/>
      <color rgb="FF21518B"/>
      <name val="Segoe UI Semibold"/>
      <family val="2"/>
    </font>
    <font>
      <sz val="11"/>
      <color rgb="FF21518B"/>
      <name val="Calibri"/>
      <family val="2"/>
      <scheme val="minor"/>
    </font>
    <font>
      <sz val="14"/>
      <color rgb="FF21518B"/>
      <name val="Segoe UI Black"/>
      <family val="2"/>
    </font>
    <font>
      <sz val="14"/>
      <color theme="1"/>
      <name val="Segoe UI Semibold"/>
    </font>
    <font>
      <sz val="16"/>
      <color theme="4"/>
      <name val="Segoe UI Black"/>
      <family val="2"/>
    </font>
    <font>
      <sz val="16"/>
      <color theme="1" tint="0.249977111117893"/>
      <name val="Calibri"/>
      <family val="2"/>
      <scheme val="minor"/>
    </font>
    <font>
      <sz val="16"/>
      <color theme="1" tint="0.249977111117893"/>
      <name val="Segoe UI Semibold"/>
      <family val="2"/>
    </font>
    <font>
      <sz val="16"/>
      <color theme="1" tint="0.249977111117893"/>
      <name val="Segoe UI Variable Display Semib"/>
    </font>
    <font>
      <sz val="32"/>
      <color rgb="FF4F81BD"/>
      <name val="Segoe UI Black"/>
      <family val="2"/>
    </font>
    <font>
      <b/>
      <sz val="11"/>
      <color rgb="FFFFFFFF"/>
      <name val="Calibri"/>
    </font>
    <font>
      <b/>
      <sz val="11"/>
      <color theme="1" tint="0.14999847407452621"/>
      <name val="Calibri"/>
    </font>
  </fonts>
  <fills count="7">
    <fill>
      <patternFill patternType="none"/>
    </fill>
    <fill>
      <patternFill patternType="gray125"/>
    </fill>
    <fill>
      <patternFill patternType="solid">
        <fgColor rgb="FFEAF0F6"/>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rgb="FF6792C5"/>
        <bgColor indexed="64"/>
      </patternFill>
    </fill>
    <fill>
      <patternFill patternType="solid">
        <fgColor rgb="FF1F4E78"/>
      </patternFill>
    </fill>
  </fills>
  <borders count="28">
    <border>
      <left/>
      <right/>
      <top/>
      <bottom/>
      <diagonal/>
    </border>
    <border>
      <left/>
      <right style="thin">
        <color theme="4" tint="0.39994506668294322"/>
      </right>
      <top/>
      <bottom style="thin">
        <color theme="4" tint="0.39994506668294322"/>
      </bottom>
      <diagonal/>
    </border>
    <border>
      <left style="thin">
        <color theme="4" tint="0.39994506668294322"/>
      </left>
      <right style="thin">
        <color theme="4" tint="0.39994506668294322"/>
      </right>
      <top/>
      <bottom style="thin">
        <color theme="4" tint="0.39994506668294322"/>
      </bottom>
      <diagonal/>
    </border>
    <border>
      <left style="thin">
        <color theme="4" tint="0.39994506668294322"/>
      </left>
      <right/>
      <top/>
      <bottom style="thin">
        <color theme="4" tint="0.39994506668294322"/>
      </bottom>
      <diagonal/>
    </border>
    <border>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theme="4" tint="0.39994506668294322"/>
      </left>
      <right/>
      <top style="thin">
        <color theme="4" tint="0.39994506668294322"/>
      </top>
      <bottom style="thin">
        <color theme="4" tint="0.39994506668294322"/>
      </bottom>
      <diagonal/>
    </border>
    <border>
      <left/>
      <right style="thin">
        <color theme="4" tint="0.39994506668294322"/>
      </right>
      <top style="thin">
        <color theme="4" tint="0.39994506668294322"/>
      </top>
      <bottom/>
      <diagonal/>
    </border>
    <border>
      <left style="thin">
        <color theme="4" tint="0.39994506668294322"/>
      </left>
      <right style="thin">
        <color theme="4" tint="0.39994506668294322"/>
      </right>
      <top style="thin">
        <color theme="4" tint="0.39994506668294322"/>
      </top>
      <bottom/>
      <diagonal/>
    </border>
    <border>
      <left style="thin">
        <color theme="4" tint="0.39994506668294322"/>
      </left>
      <right/>
      <top style="thin">
        <color theme="4" tint="0.39994506668294322"/>
      </top>
      <bottom/>
      <diagonal/>
    </border>
    <border>
      <left style="thin">
        <color theme="4"/>
      </left>
      <right style="thin">
        <color theme="4"/>
      </right>
      <top style="thin">
        <color theme="4"/>
      </top>
      <bottom style="thin">
        <color theme="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right style="thin">
        <color theme="3" tint="0.59996337778862885"/>
      </right>
      <top/>
      <bottom/>
      <diagonal/>
    </border>
    <border>
      <left style="thin">
        <color theme="3" tint="0.59996337778862885"/>
      </left>
      <right/>
      <top/>
      <bottom/>
      <diagonal/>
    </border>
    <border>
      <left/>
      <right/>
      <top style="thin">
        <color theme="4" tint="0.39994506668294322"/>
      </top>
      <bottom/>
      <diagonal/>
    </border>
    <border>
      <left style="thin">
        <color theme="4" tint="0.39991454817346722"/>
      </left>
      <right/>
      <top style="thin">
        <color theme="4" tint="0.39991454817346722"/>
      </top>
      <bottom style="thin">
        <color theme="4" tint="0.39991454817346722"/>
      </bottom>
      <diagonal/>
    </border>
    <border>
      <left/>
      <right/>
      <top style="thin">
        <color theme="4" tint="0.39991454817346722"/>
      </top>
      <bottom style="thin">
        <color theme="4" tint="0.39991454817346722"/>
      </bottom>
      <diagonal/>
    </border>
    <border>
      <left/>
      <right style="thin">
        <color theme="4" tint="0.39991454817346722"/>
      </right>
      <top style="thin">
        <color theme="4" tint="0.39991454817346722"/>
      </top>
      <bottom style="thin">
        <color theme="4" tint="0.39991454817346722"/>
      </bottom>
      <diagonal/>
    </border>
    <border>
      <left/>
      <right style="thick">
        <color theme="4" tint="0.39991454817346722"/>
      </right>
      <top style="thin">
        <color theme="4" tint="0.39994506668294322"/>
      </top>
      <bottom/>
      <diagonal/>
    </border>
    <border>
      <left/>
      <right style="thick">
        <color theme="4" tint="0.39991454817346722"/>
      </right>
      <top style="thin">
        <color theme="4" tint="0.39991454817346722"/>
      </top>
      <bottom style="thin">
        <color theme="4" tint="0.39991454817346722"/>
      </bottom>
      <diagonal/>
    </border>
    <border>
      <left style="thick">
        <color theme="4" tint="0.39991454817346722"/>
      </left>
      <right/>
      <top style="thin">
        <color theme="4" tint="0.39994506668294322"/>
      </top>
      <bottom/>
      <diagonal/>
    </border>
    <border>
      <left/>
      <right style="thick">
        <color theme="4" tint="0.39988402966399123"/>
      </right>
      <top style="thin">
        <color theme="4" tint="0.39994506668294322"/>
      </top>
      <bottom/>
      <diagonal/>
    </border>
    <border>
      <left style="thick">
        <color theme="4" tint="0.39991454817346722"/>
      </left>
      <right/>
      <top style="thin">
        <color theme="4" tint="0.39991454817346722"/>
      </top>
      <bottom style="thin">
        <color theme="4" tint="0.39991454817346722"/>
      </bottom>
      <diagonal/>
    </border>
    <border>
      <left/>
      <right style="thick">
        <color theme="4" tint="0.39988402966399123"/>
      </right>
      <top style="thin">
        <color theme="4" tint="0.39991454817346722"/>
      </top>
      <bottom style="thin">
        <color theme="4" tint="0.39991454817346722"/>
      </bottom>
      <diagonal/>
    </border>
    <border>
      <left/>
      <right/>
      <top style="thin">
        <color theme="4"/>
      </top>
      <bottom style="thin">
        <color theme="4"/>
      </bottom>
      <diagonal/>
    </border>
    <border>
      <left/>
      <right style="thin">
        <color theme="3" tint="0.59996337778862885"/>
      </right>
      <top/>
      <bottom style="thin">
        <color theme="3" tint="0.59996337778862885"/>
      </bottom>
      <diagonal/>
    </border>
    <border>
      <left style="thin">
        <color theme="3" tint="0.59996337778862885"/>
      </left>
      <right/>
      <top/>
      <bottom style="thin">
        <color theme="3" tint="0.59996337778862885"/>
      </bottom>
      <diagonal/>
    </border>
    <border>
      <left style="thin">
        <color theme="3" tint="0.39994506668294322"/>
      </left>
      <right style="thin">
        <color theme="3" tint="0.39994506668294322"/>
      </right>
      <top/>
      <bottom style="thin">
        <color theme="3" tint="0.39994506668294322"/>
      </bottom>
      <diagonal/>
    </border>
  </borders>
  <cellStyleXfs count="1">
    <xf numFmtId="0" fontId="0" fillId="0" borderId="0"/>
  </cellStyleXfs>
  <cellXfs count="84">
    <xf numFmtId="0" fontId="0" fillId="0" borderId="0" xfId="0"/>
    <xf numFmtId="9" fontId="0" fillId="0" borderId="0" xfId="0" applyNumberFormat="1"/>
    <xf numFmtId="0" fontId="1" fillId="0" borderId="0" xfId="0" applyFont="1"/>
    <xf numFmtId="0" fontId="2" fillId="0" borderId="0" xfId="0" applyFont="1"/>
    <xf numFmtId="0" fontId="3" fillId="0" borderId="0" xfId="0" applyFont="1" applyAlignment="1">
      <alignment horizontal="left"/>
    </xf>
    <xf numFmtId="0" fontId="4" fillId="0" borderId="0" xfId="0" applyFont="1"/>
    <xf numFmtId="167" fontId="5" fillId="0" borderId="5" xfId="0" applyNumberFormat="1" applyFont="1" applyBorder="1"/>
    <xf numFmtId="0" fontId="5" fillId="0" borderId="5" xfId="0" applyFont="1" applyBorder="1"/>
    <xf numFmtId="9" fontId="5" fillId="0" borderId="5" xfId="0" applyNumberFormat="1" applyFont="1" applyBorder="1"/>
    <xf numFmtId="0" fontId="6" fillId="0" borderId="4" xfId="0" applyFont="1" applyBorder="1" applyAlignment="1">
      <alignment horizontal="left"/>
    </xf>
    <xf numFmtId="167" fontId="6" fillId="0" borderId="5" xfId="0" applyNumberFormat="1" applyFont="1" applyBorder="1"/>
    <xf numFmtId="10" fontId="6" fillId="0" borderId="5" xfId="0" applyNumberFormat="1" applyFont="1" applyBorder="1"/>
    <xf numFmtId="0" fontId="6" fillId="0" borderId="1" xfId="0" pivotButton="1" applyFont="1" applyBorder="1"/>
    <xf numFmtId="0" fontId="6" fillId="0" borderId="2" xfId="0" applyFont="1" applyBorder="1"/>
    <xf numFmtId="0" fontId="6" fillId="0" borderId="3" xfId="0" applyFont="1" applyBorder="1"/>
    <xf numFmtId="0" fontId="6" fillId="0" borderId="7" xfId="0" applyFont="1" applyBorder="1" applyAlignment="1">
      <alignment horizontal="left"/>
    </xf>
    <xf numFmtId="167" fontId="6" fillId="0" borderId="8" xfId="0" applyNumberFormat="1" applyFont="1" applyBorder="1"/>
    <xf numFmtId="10" fontId="6" fillId="0" borderId="8" xfId="0" applyNumberFormat="1" applyFont="1" applyBorder="1"/>
    <xf numFmtId="0" fontId="7" fillId="2" borderId="5" xfId="0" applyFont="1" applyFill="1" applyBorder="1"/>
    <xf numFmtId="3" fontId="0" fillId="0" borderId="0" xfId="0" applyNumberFormat="1"/>
    <xf numFmtId="0" fontId="6" fillId="0" borderId="0" xfId="0" pivotButton="1" applyFont="1"/>
    <xf numFmtId="0" fontId="6" fillId="0" borderId="0" xfId="0" applyFont="1"/>
    <xf numFmtId="3" fontId="6" fillId="0" borderId="0" xfId="0" applyNumberFormat="1" applyFont="1"/>
    <xf numFmtId="9" fontId="6" fillId="0" borderId="0" xfId="0" applyNumberFormat="1" applyFont="1"/>
    <xf numFmtId="0" fontId="9" fillId="0" borderId="0" xfId="0" applyFont="1"/>
    <xf numFmtId="0" fontId="11" fillId="0" borderId="0" xfId="0" applyFont="1"/>
    <xf numFmtId="164" fontId="11" fillId="0" borderId="0" xfId="0" applyNumberFormat="1" applyFont="1"/>
    <xf numFmtId="9" fontId="11" fillId="0" borderId="0" xfId="0" applyNumberFormat="1" applyFont="1"/>
    <xf numFmtId="1" fontId="11" fillId="0" borderId="0" xfId="0" applyNumberFormat="1" applyFont="1"/>
    <xf numFmtId="167" fontId="11" fillId="0" borderId="0" xfId="0" applyNumberFormat="1" applyFont="1"/>
    <xf numFmtId="0" fontId="10" fillId="3" borderId="11" xfId="0" applyFont="1" applyFill="1" applyBorder="1" applyAlignment="1">
      <alignment horizontal="left"/>
    </xf>
    <xf numFmtId="1" fontId="5" fillId="0" borderId="5" xfId="0" applyNumberFormat="1" applyFont="1" applyBorder="1"/>
    <xf numFmtId="167" fontId="12" fillId="0" borderId="5" xfId="0" applyNumberFormat="1" applyFont="1" applyBorder="1"/>
    <xf numFmtId="0" fontId="13" fillId="0" borderId="0" xfId="0" applyFont="1"/>
    <xf numFmtId="10" fontId="0" fillId="0" borderId="0" xfId="0" applyNumberFormat="1"/>
    <xf numFmtId="165" fontId="0" fillId="0" borderId="0" xfId="0" applyNumberFormat="1"/>
    <xf numFmtId="0" fontId="15" fillId="4" borderId="14" xfId="0" applyFont="1" applyFill="1" applyBorder="1"/>
    <xf numFmtId="0" fontId="16" fillId="4" borderId="14" xfId="0" applyFont="1" applyFill="1" applyBorder="1"/>
    <xf numFmtId="0" fontId="16" fillId="4" borderId="7" xfId="0" applyFont="1" applyFill="1" applyBorder="1"/>
    <xf numFmtId="0" fontId="16" fillId="4" borderId="21" xfId="0" applyFont="1" applyFill="1" applyBorder="1"/>
    <xf numFmtId="0" fontId="17" fillId="0" borderId="15" xfId="0" applyFont="1" applyBorder="1"/>
    <xf numFmtId="0" fontId="17" fillId="0" borderId="19" xfId="0" applyFont="1" applyBorder="1"/>
    <xf numFmtId="0" fontId="18" fillId="0" borderId="16" xfId="0" applyFont="1" applyBorder="1" applyAlignment="1">
      <alignment horizontal="left"/>
    </xf>
    <xf numFmtId="0" fontId="17" fillId="0" borderId="16" xfId="0" applyFont="1" applyBorder="1"/>
    <xf numFmtId="0" fontId="19" fillId="0" borderId="23" xfId="0" applyFont="1" applyBorder="1"/>
    <xf numFmtId="0" fontId="19" fillId="0" borderId="19" xfId="0" applyFont="1" applyBorder="1"/>
    <xf numFmtId="0" fontId="19" fillId="0" borderId="16" xfId="0" applyFont="1" applyBorder="1"/>
    <xf numFmtId="0" fontId="21" fillId="0" borderId="0" xfId="0" pivotButton="1" applyFont="1"/>
    <xf numFmtId="0" fontId="21" fillId="0" borderId="0" xfId="0" applyFont="1"/>
    <xf numFmtId="167" fontId="21" fillId="0" borderId="0" xfId="0" applyNumberFormat="1" applyFont="1"/>
    <xf numFmtId="3" fontId="21" fillId="0" borderId="0" xfId="0" applyNumberFormat="1" applyFont="1"/>
    <xf numFmtId="0" fontId="6" fillId="0" borderId="5" xfId="0" applyFont="1" applyBorder="1"/>
    <xf numFmtId="9" fontId="6" fillId="0" borderId="6" xfId="0" applyNumberFormat="1" applyFont="1" applyBorder="1"/>
    <xf numFmtId="0" fontId="6" fillId="0" borderId="8" xfId="0" applyFont="1" applyBorder="1"/>
    <xf numFmtId="9" fontId="6" fillId="0" borderId="9" xfId="0" applyNumberFormat="1" applyFont="1" applyBorder="1"/>
    <xf numFmtId="0" fontId="23" fillId="0" borderId="10" xfId="0" applyFont="1" applyBorder="1"/>
    <xf numFmtId="0" fontId="23" fillId="0" borderId="24" xfId="0" applyFont="1" applyBorder="1"/>
    <xf numFmtId="167" fontId="24" fillId="0" borderId="10" xfId="0" applyNumberFormat="1" applyFont="1" applyBorder="1"/>
    <xf numFmtId="9" fontId="25" fillId="0" borderId="24" xfId="0" applyNumberFormat="1" applyFont="1" applyBorder="1"/>
    <xf numFmtId="0" fontId="0" fillId="5" borderId="0" xfId="0" applyFill="1"/>
    <xf numFmtId="0" fontId="22" fillId="5" borderId="0" xfId="0" applyFont="1" applyFill="1"/>
    <xf numFmtId="0" fontId="12" fillId="0" borderId="25" xfId="0" pivotButton="1" applyFont="1" applyBorder="1"/>
    <xf numFmtId="0" fontId="12" fillId="0" borderId="26" xfId="0" applyFont="1" applyBorder="1"/>
    <xf numFmtId="167" fontId="12" fillId="0" borderId="13" xfId="0" applyNumberFormat="1" applyFont="1" applyBorder="1"/>
    <xf numFmtId="0" fontId="12" fillId="0" borderId="12" xfId="0" applyFont="1" applyBorder="1"/>
    <xf numFmtId="0" fontId="12" fillId="0" borderId="25" xfId="0" applyFont="1" applyBorder="1"/>
    <xf numFmtId="0" fontId="12" fillId="0" borderId="0" xfId="0" pivotButton="1" applyFont="1"/>
    <xf numFmtId="0" fontId="12" fillId="0" borderId="0" xfId="0" applyFont="1"/>
    <xf numFmtId="167" fontId="12" fillId="0" borderId="0" xfId="0" applyNumberFormat="1" applyFont="1"/>
    <xf numFmtId="0" fontId="24" fillId="0" borderId="10" xfId="0" applyFont="1" applyBorder="1"/>
    <xf numFmtId="0" fontId="26" fillId="0" borderId="0" xfId="0" applyFont="1" applyAlignment="1">
      <alignment horizontal="center" vertical="center"/>
    </xf>
    <xf numFmtId="0" fontId="8" fillId="0" borderId="0" xfId="0" applyFont="1" applyAlignment="1">
      <alignment horizontal="left"/>
    </xf>
    <xf numFmtId="0" fontId="18" fillId="0" borderId="16" xfId="0" applyFont="1" applyBorder="1" applyAlignment="1">
      <alignment horizontal="left"/>
    </xf>
    <xf numFmtId="0" fontId="18" fillId="0" borderId="17" xfId="0" applyFont="1" applyBorder="1" applyAlignment="1">
      <alignment horizontal="left"/>
    </xf>
    <xf numFmtId="0" fontId="18" fillId="0" borderId="22" xfId="0" applyFont="1" applyBorder="1" applyAlignment="1">
      <alignment horizontal="left"/>
    </xf>
    <xf numFmtId="0" fontId="18" fillId="0" borderId="23" xfId="0" applyFont="1" applyBorder="1" applyAlignment="1">
      <alignment horizontal="left"/>
    </xf>
    <xf numFmtId="0" fontId="14" fillId="4" borderId="14" xfId="0" applyFont="1" applyFill="1" applyBorder="1" applyAlignment="1">
      <alignment horizontal="left"/>
    </xf>
    <xf numFmtId="0" fontId="20" fillId="0" borderId="0" xfId="0" applyFont="1" applyAlignment="1">
      <alignment horizontal="left"/>
    </xf>
    <xf numFmtId="0" fontId="14" fillId="4" borderId="9" xfId="0" applyFont="1" applyFill="1" applyBorder="1" applyAlignment="1">
      <alignment horizontal="left"/>
    </xf>
    <xf numFmtId="0" fontId="14" fillId="4" borderId="18" xfId="0" applyFont="1" applyFill="1" applyBorder="1" applyAlignment="1">
      <alignment horizontal="left"/>
    </xf>
    <xf numFmtId="0" fontId="14" fillId="4" borderId="20" xfId="0" applyFont="1" applyFill="1" applyBorder="1" applyAlignment="1">
      <alignment horizontal="left"/>
    </xf>
    <xf numFmtId="164" fontId="0" fillId="0" borderId="0" xfId="0" applyNumberFormat="1"/>
    <xf numFmtId="0" fontId="27" fillId="6" borderId="0" xfId="0" applyFont="1" applyFill="1" applyAlignment="1">
      <alignment horizontal="center"/>
    </xf>
    <xf numFmtId="0" fontId="28" fillId="3" borderId="27" xfId="0" applyFont="1" applyFill="1" applyBorder="1" applyAlignment="1">
      <alignment horizontal="left"/>
    </xf>
  </cellXfs>
  <cellStyles count="1">
    <cellStyle name="Normal" xfId="0" builtinId="0"/>
  </cellStyles>
  <dxfs count="265">
    <dxf>
      <numFmt numFmtId="167" formatCode="&quot;$&quot;#,##0"/>
    </dxf>
    <dxf>
      <border>
        <left/>
        <right/>
        <top/>
        <horizontal/>
      </border>
    </dxf>
    <dxf>
      <numFmt numFmtId="3" formatCode="#,##0"/>
    </dxf>
    <dxf>
      <font>
        <sz val="14"/>
      </font>
    </dxf>
    <dxf>
      <font>
        <sz val="14"/>
      </font>
    </dxf>
    <dxf>
      <font>
        <sz val="14"/>
      </font>
    </dxf>
    <dxf>
      <font>
        <sz val="14"/>
      </font>
    </dxf>
    <dxf>
      <font>
        <sz val="14"/>
      </font>
    </dxf>
    <dxf>
      <font>
        <sz val="14"/>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font>
        <sz val="12"/>
      </font>
    </dxf>
    <dxf>
      <font>
        <sz val="12"/>
      </font>
    </dxf>
    <dxf>
      <font>
        <sz val="12"/>
      </font>
    </dxf>
    <dxf>
      <font>
        <sz val="12"/>
      </font>
    </dxf>
    <dxf>
      <font>
        <sz val="12"/>
      </font>
    </dxf>
    <dxf>
      <font>
        <sz val="12"/>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numFmt numFmtId="167" formatCode="&quot;$&quot;#,##0"/>
    </dxf>
    <dxf>
      <font>
        <sz val="14"/>
      </font>
    </dxf>
    <dxf>
      <font>
        <sz val="14"/>
      </font>
    </dxf>
    <dxf>
      <font>
        <color theme="1" tint="0.249977111117893"/>
      </font>
    </dxf>
    <dxf>
      <font>
        <color theme="1" tint="0.249977111117893"/>
      </font>
    </dxf>
    <dxf>
      <font>
        <color theme="1" tint="0.249977111117893"/>
      </font>
    </dxf>
    <dxf>
      <border>
        <top style="thin">
          <color theme="4"/>
        </top>
        <bottom style="thin">
          <color theme="4"/>
        </bottom>
        <horizontal style="thin">
          <color theme="4"/>
        </horizontal>
      </border>
    </dxf>
    <dxf>
      <border>
        <top style="thin">
          <color theme="4"/>
        </top>
        <bottom style="thin">
          <color theme="4"/>
        </bottom>
        <horizontal style="thin">
          <color theme="4"/>
        </horizontal>
      </border>
    </dxf>
    <dxf>
      <border>
        <top style="thin">
          <color theme="4"/>
        </top>
        <bottom style="thin">
          <color theme="4"/>
        </bottom>
        <horizontal style="thin">
          <color theme="4"/>
        </horizontal>
      </border>
    </dxf>
    <dxf>
      <font>
        <name val="Segoe UI Variable Display Semib"/>
        <scheme val="none"/>
      </font>
    </dxf>
    <dxf>
      <numFmt numFmtId="13" formatCode="0%"/>
    </dxf>
    <dxf>
      <font>
        <sz val="16"/>
        <color rgb="FF245794"/>
      </font>
    </dxf>
    <dxf>
      <font>
        <sz val="16"/>
        <color rgb="FF245794"/>
      </font>
    </dxf>
    <dxf>
      <font>
        <sz val="16"/>
        <color rgb="FF245794"/>
      </font>
    </dxf>
    <dxf>
      <border>
        <top/>
        <vertical/>
        <horizontal/>
      </border>
    </dxf>
    <dxf>
      <border>
        <top/>
        <vertical/>
        <horizontal/>
      </border>
    </dxf>
    <dxf>
      <border>
        <top/>
        <bottom/>
        <vertical/>
      </border>
    </dxf>
    <dxf>
      <border>
        <top/>
        <bottom/>
        <vertical/>
      </border>
    </dxf>
    <dxf>
      <border>
        <top/>
        <vertical/>
        <horizontal/>
      </border>
    </dxf>
    <dxf>
      <border>
        <top/>
        <vertical/>
        <horizontal/>
      </border>
    </dxf>
    <dxf>
      <numFmt numFmtId="167" formatCode="&quot;$&quot;#,##0"/>
    </dxf>
    <dxf>
      <font>
        <sz val="12"/>
      </font>
    </dxf>
    <dxf>
      <font>
        <sz val="12"/>
      </font>
    </dxf>
    <dxf>
      <font>
        <sz val="12"/>
      </font>
    </dxf>
    <dxf>
      <font>
        <sz val="12"/>
      </font>
    </dxf>
    <dxf>
      <font>
        <sz val="12"/>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numFmt numFmtId="167" formatCode="&quot;$&quot;#,##0"/>
    </dxf>
    <dxf>
      <border>
        <vertical style="thin">
          <color theme="3" tint="0.59996337778862885"/>
        </vertical>
        <horizontal style="thin">
          <color theme="3" tint="0.59996337778862885"/>
        </horizontal>
      </border>
    </dxf>
    <dxf>
      <border>
        <vertical style="thin">
          <color theme="3" tint="0.59996337778862885"/>
        </vertical>
        <horizontal style="thin">
          <color theme="3" tint="0.59996337778862885"/>
        </horizontal>
      </border>
    </dxf>
    <dxf>
      <border>
        <vertical style="thin">
          <color theme="3" tint="0.59996337778862885"/>
        </vertical>
        <horizontal style="thin">
          <color theme="3" tint="0.59996337778862885"/>
        </horizontal>
      </border>
    </dxf>
    <dxf>
      <border>
        <vertical style="thin">
          <color theme="3" tint="0.59996337778862885"/>
        </vertical>
        <horizontal style="thin">
          <color theme="3" tint="0.59996337778862885"/>
        </horizontal>
      </border>
    </dxf>
    <dxf>
      <border>
        <vertical style="thin">
          <color theme="3" tint="0.59996337778862885"/>
        </vertical>
        <horizontal style="thin">
          <color theme="3" tint="0.59996337778862885"/>
        </horizontal>
      </border>
    </dxf>
    <dxf>
      <border>
        <vertical style="thin">
          <color theme="3" tint="0.59996337778862885"/>
        </vertical>
        <horizontal style="thin">
          <color theme="3" tint="0.59996337778862885"/>
        </horizontal>
      </border>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numFmt numFmtId="167" formatCode="&quot;$&quot;#,##0"/>
    </dxf>
    <dxf>
      <font>
        <sz val="14"/>
      </font>
    </dxf>
    <dxf>
      <font>
        <sz val="14"/>
      </font>
    </dxf>
    <dxf>
      <font>
        <color theme="1" tint="0.249977111117893"/>
      </font>
    </dxf>
    <dxf>
      <font>
        <color theme="1" tint="0.249977111117893"/>
      </font>
    </dxf>
    <dxf>
      <font>
        <color theme="1" tint="0.249977111117893"/>
      </font>
    </dxf>
    <dxf>
      <font>
        <sz val="16"/>
      </font>
    </dxf>
    <dxf>
      <font>
        <sz val="16"/>
      </font>
    </dxf>
    <dxf>
      <font>
        <sz val="16"/>
      </font>
    </dxf>
    <dxf>
      <font>
        <name val="Segoe UI Semibold"/>
        <family val="2"/>
      </font>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font>
        <color theme="1" tint="0.249977111117893"/>
      </font>
    </dxf>
    <dxf>
      <font>
        <color theme="1" tint="0.14999847407452621"/>
      </font>
    </dxf>
    <dxf>
      <border>
        <left style="thin">
          <color theme="4" tint="0.39991454817346722"/>
        </left>
        <right style="thin">
          <color theme="4" tint="0.39991454817346722"/>
        </right>
        <top style="thin">
          <color theme="4" tint="0.39991454817346722"/>
        </top>
        <bottom style="thin">
          <color theme="4" tint="0.39991454817346722"/>
        </bottom>
        <vertical style="thin">
          <color theme="4" tint="0.39991454817346722"/>
        </vertical>
        <horizontal style="thin">
          <color theme="4" tint="0.39991454817346722"/>
        </horizontal>
      </border>
    </dxf>
    <dxf>
      <border>
        <left style="thin">
          <color theme="4" tint="0.39991454817346722"/>
        </left>
        <right style="thin">
          <color theme="4" tint="0.39991454817346722"/>
        </right>
        <top style="thin">
          <color theme="4" tint="0.39991454817346722"/>
        </top>
        <bottom style="thin">
          <color theme="4" tint="0.39991454817346722"/>
        </bottom>
        <vertical style="thin">
          <color theme="4" tint="0.39991454817346722"/>
        </vertical>
        <horizontal style="thin">
          <color theme="4" tint="0.39991454817346722"/>
        </horizontal>
      </border>
    </dxf>
    <dxf>
      <border>
        <left style="thin">
          <color theme="4" tint="0.39991454817346722"/>
        </left>
        <right style="thin">
          <color theme="4" tint="0.39991454817346722"/>
        </right>
        <top style="thin">
          <color theme="4" tint="0.39991454817346722"/>
        </top>
        <bottom style="thin">
          <color theme="4" tint="0.39991454817346722"/>
        </bottom>
        <vertical style="thin">
          <color theme="4" tint="0.39991454817346722"/>
        </vertical>
        <horizontal style="thin">
          <color theme="4" tint="0.39991454817346722"/>
        </horizontal>
      </border>
    </dxf>
    <dxf>
      <numFmt numFmtId="13" formatCode="0%"/>
    </dxf>
    <dxf>
      <font>
        <sz val="14"/>
      </font>
    </dxf>
    <dxf>
      <font>
        <sz val="14"/>
      </font>
    </dxf>
    <dxf>
      <font>
        <sz val="14"/>
      </font>
    </dxf>
    <dxf>
      <font>
        <sz val="14"/>
      </font>
    </dxf>
    <dxf>
      <font>
        <sz val="14"/>
      </font>
    </dxf>
    <dxf>
      <font>
        <sz val="14"/>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border>
        <vertical style="thin">
          <color theme="4" tint="0.39994506668294322"/>
        </vertical>
        <horizontal style="thin">
          <color theme="4" tint="0.39994506668294322"/>
        </horizontal>
      </border>
    </dxf>
    <dxf>
      <border>
        <vertical style="thin">
          <color theme="4" tint="0.39994506668294322"/>
        </vertical>
        <horizontal style="thin">
          <color theme="4" tint="0.39994506668294322"/>
        </horizontal>
      </border>
    </dxf>
    <dxf>
      <border>
        <vertical style="thin">
          <color theme="4" tint="0.39994506668294322"/>
        </vertical>
        <horizontal style="thin">
          <color theme="4" tint="0.39994506668294322"/>
        </horizontal>
      </border>
    </dxf>
    <dxf>
      <border>
        <vertical style="thin">
          <color theme="4" tint="0.39994506668294322"/>
        </vertical>
        <horizontal style="thin">
          <color theme="4" tint="0.39994506668294322"/>
        </horizontal>
      </border>
    </dxf>
    <dxf>
      <border>
        <vertical style="thin">
          <color theme="4" tint="0.39994506668294322"/>
        </vertical>
        <horizontal style="thin">
          <color theme="4" tint="0.39994506668294322"/>
        </horizontal>
      </border>
    </dxf>
    <dxf>
      <border>
        <vertical style="thin">
          <color theme="4" tint="0.39994506668294322"/>
        </vertical>
        <horizontal style="thin">
          <color theme="4" tint="0.39994506668294322"/>
        </horizontal>
      </border>
    </dxf>
    <dxf>
      <numFmt numFmtId="167" formatCode="&quot;$&quot;#,##0"/>
    </dxf>
    <dxf>
      <numFmt numFmtId="167" formatCode="&quot;$&quot;#,##0"/>
    </dxf>
    <dxf>
      <numFmt numFmtId="167" formatCode="&quot;$&quot;#,##0"/>
    </dxf>
    <dxf>
      <font>
        <sz val="14"/>
      </font>
    </dxf>
    <dxf>
      <font>
        <sz val="14"/>
      </font>
    </dxf>
    <dxf>
      <font>
        <sz val="14"/>
      </font>
    </dxf>
    <dxf>
      <font>
        <sz val="14"/>
      </font>
    </dxf>
    <dxf>
      <font>
        <sz val="14"/>
      </font>
    </dxf>
    <dxf>
      <font>
        <sz val="14"/>
      </font>
    </dxf>
    <dxf>
      <numFmt numFmtId="3" formatCode="#,##0"/>
    </dxf>
    <dxf>
      <numFmt numFmtId="167" formatCode="&quot;$&quot;#,##0"/>
    </dxf>
    <dxf>
      <numFmt numFmtId="167" formatCode="&quot;$&quot;#,##0"/>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numFmt numFmtId="167" formatCode="&quot;$&quot;#,##0"/>
    </dxf>
    <dxf>
      <font>
        <color theme="1" tint="0.249977111117893"/>
      </font>
    </dxf>
    <dxf>
      <font>
        <color theme="1" tint="0.249977111117893"/>
      </font>
    </dxf>
    <dxf>
      <font>
        <color theme="1" tint="0.249977111117893"/>
      </font>
    </dxf>
    <dxf>
      <font>
        <sz val="16"/>
      </font>
    </dxf>
    <dxf>
      <font>
        <sz val="16"/>
      </font>
    </dxf>
    <dxf>
      <font>
        <sz val="16"/>
      </font>
    </dxf>
    <dxf>
      <font>
        <name val="Segoe UI Semibold"/>
        <family val="2"/>
      </font>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font>
        <color theme="1" tint="0.249977111117893"/>
      </font>
    </dxf>
    <dxf>
      <font>
        <color theme="1" tint="0.14999847407452621"/>
      </font>
    </dxf>
    <dxf>
      <border>
        <left style="thin">
          <color theme="4" tint="0.39991454817346722"/>
        </left>
        <right style="thin">
          <color theme="4" tint="0.39991454817346722"/>
        </right>
        <top style="thin">
          <color theme="4" tint="0.39991454817346722"/>
        </top>
        <bottom style="thin">
          <color theme="4" tint="0.39991454817346722"/>
        </bottom>
        <vertical style="thin">
          <color theme="4" tint="0.39991454817346722"/>
        </vertical>
        <horizontal style="thin">
          <color theme="4" tint="0.39991454817346722"/>
        </horizontal>
      </border>
    </dxf>
    <dxf>
      <border>
        <left style="thin">
          <color theme="4" tint="0.39991454817346722"/>
        </left>
        <right style="thin">
          <color theme="4" tint="0.39991454817346722"/>
        </right>
        <top style="thin">
          <color theme="4" tint="0.39991454817346722"/>
        </top>
        <bottom style="thin">
          <color theme="4" tint="0.39991454817346722"/>
        </bottom>
        <vertical style="thin">
          <color theme="4" tint="0.39991454817346722"/>
        </vertical>
        <horizontal style="thin">
          <color theme="4" tint="0.39991454817346722"/>
        </horizontal>
      </border>
    </dxf>
    <dxf>
      <border>
        <left style="thin">
          <color theme="4" tint="0.39991454817346722"/>
        </left>
        <right style="thin">
          <color theme="4" tint="0.39991454817346722"/>
        </right>
        <top style="thin">
          <color theme="4" tint="0.39991454817346722"/>
        </top>
        <bottom style="thin">
          <color theme="4" tint="0.39991454817346722"/>
        </bottom>
        <vertical style="thin">
          <color theme="4" tint="0.39991454817346722"/>
        </vertical>
        <horizontal style="thin">
          <color theme="4" tint="0.39991454817346722"/>
        </horizontal>
      </border>
    </dxf>
    <dxf>
      <font>
        <color theme="1" tint="0.249977111117893"/>
      </font>
    </dxf>
    <dxf>
      <font>
        <color theme="1" tint="0.249977111117893"/>
      </font>
    </dxf>
    <dxf>
      <font>
        <color theme="1" tint="0.249977111117893"/>
      </font>
    </dxf>
    <dxf>
      <font>
        <sz val="16"/>
      </font>
    </dxf>
    <dxf>
      <font>
        <sz val="16"/>
      </font>
    </dxf>
    <dxf>
      <font>
        <sz val="16"/>
      </font>
    </dxf>
    <dxf>
      <font>
        <b val="0"/>
      </font>
    </dxf>
    <dxf>
      <font>
        <name val="Segoe UI Semibold"/>
        <family val="2"/>
      </font>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font>
        <color theme="1" tint="0.249977111117893"/>
      </font>
    </dxf>
    <dxf>
      <font>
        <color theme="1" tint="0.14999847407452621"/>
      </font>
    </dxf>
    <dxf>
      <font>
        <sz val="10"/>
      </font>
    </dxf>
    <dxf>
      <border>
        <left style="thin">
          <color theme="4" tint="0.39991454817346722"/>
        </left>
        <right style="thin">
          <color theme="4" tint="0.39991454817346722"/>
        </right>
        <top style="thin">
          <color theme="4" tint="0.39991454817346722"/>
        </top>
        <bottom style="thin">
          <color theme="4" tint="0.39991454817346722"/>
        </bottom>
        <vertical style="thin">
          <color theme="4" tint="0.39991454817346722"/>
        </vertical>
        <horizontal style="thin">
          <color theme="4" tint="0.39991454817346722"/>
        </horizontal>
      </border>
    </dxf>
    <dxf>
      <border>
        <left style="thin">
          <color theme="4" tint="0.39991454817346722"/>
        </left>
        <right style="thin">
          <color theme="4" tint="0.39991454817346722"/>
        </right>
        <top style="thin">
          <color theme="4" tint="0.39991454817346722"/>
        </top>
        <bottom style="thin">
          <color theme="4" tint="0.39991454817346722"/>
        </bottom>
        <vertical style="thin">
          <color theme="4" tint="0.39991454817346722"/>
        </vertical>
        <horizontal style="thin">
          <color theme="4" tint="0.39991454817346722"/>
        </horizontal>
      </border>
    </dxf>
    <dxf>
      <border>
        <left style="thin">
          <color theme="4" tint="0.39991454817346722"/>
        </left>
        <right style="thin">
          <color theme="4" tint="0.39991454817346722"/>
        </right>
        <top style="thin">
          <color theme="4" tint="0.39991454817346722"/>
        </top>
        <bottom style="thin">
          <color theme="4" tint="0.39991454817346722"/>
        </bottom>
        <vertical style="thin">
          <color theme="4" tint="0.39991454817346722"/>
        </vertical>
        <horizontal style="thin">
          <color theme="4" tint="0.39991454817346722"/>
        </horizontal>
      </border>
    </dxf>
    <dxf>
      <numFmt numFmtId="167" formatCode="&quot;$&quot;#,##0"/>
    </dxf>
    <dxf>
      <font>
        <sz val="12"/>
      </font>
    </dxf>
    <dxf>
      <font>
        <sz val="12"/>
      </font>
    </dxf>
    <dxf>
      <font>
        <sz val="12"/>
      </font>
    </dxf>
    <dxf>
      <font>
        <sz val="12"/>
      </font>
    </dxf>
    <dxf>
      <font>
        <sz val="12"/>
      </font>
    </dxf>
    <dxf>
      <font>
        <sz val="12"/>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numFmt numFmtId="167" formatCode="&quot;$&quot;#,##0"/>
    </dxf>
    <dxf>
      <font>
        <sz val="14"/>
      </font>
    </dxf>
    <dxf>
      <font>
        <sz val="14"/>
      </font>
    </dxf>
    <dxf>
      <numFmt numFmtId="167" formatCode="&quot;$&quot;#,##0"/>
    </dxf>
    <dxf>
      <border>
        <left/>
        <right/>
        <top/>
        <horizontal/>
      </border>
    </dxf>
    <dxf>
      <numFmt numFmtId="3" formatCode="#,##0"/>
    </dxf>
    <dxf>
      <font>
        <sz val="14"/>
      </font>
    </dxf>
    <dxf>
      <font>
        <sz val="14"/>
      </font>
    </dxf>
    <dxf>
      <font>
        <sz val="14"/>
      </font>
    </dxf>
    <dxf>
      <font>
        <sz val="14"/>
      </font>
    </dxf>
    <dxf>
      <font>
        <sz val="14"/>
      </font>
    </dxf>
    <dxf>
      <font>
        <sz val="14"/>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font>
        <color theme="1" tint="0.249977111117893"/>
      </font>
    </dxf>
    <dxf>
      <font>
        <color theme="1" tint="0.249977111117893"/>
      </font>
    </dxf>
    <dxf>
      <font>
        <color theme="1" tint="0.249977111117893"/>
      </font>
    </dxf>
    <dxf>
      <font>
        <sz val="16"/>
      </font>
    </dxf>
    <dxf>
      <font>
        <sz val="16"/>
      </font>
    </dxf>
    <dxf>
      <font>
        <sz val="16"/>
      </font>
    </dxf>
    <dxf>
      <numFmt numFmtId="167" formatCode="&quot;$&quot;#,##0"/>
    </dxf>
    <dxf>
      <font>
        <name val="Segoe UI Semibold"/>
        <family val="2"/>
      </font>
    </dxf>
    <dxf>
      <font>
        <sz val="14"/>
      </font>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font>
        <color theme="1" tint="0.249977111117893"/>
      </font>
    </dxf>
    <dxf>
      <font>
        <color theme="1" tint="0.14999847407452621"/>
      </font>
    </dxf>
    <dxf>
      <font>
        <sz val="10"/>
      </font>
    </dxf>
    <dxf>
      <border>
        <left style="thin">
          <color theme="4" tint="0.39991454817346722"/>
        </left>
        <right style="thin">
          <color theme="4" tint="0.39991454817346722"/>
        </right>
        <top style="thin">
          <color theme="4" tint="0.39991454817346722"/>
        </top>
        <bottom style="thin">
          <color theme="4" tint="0.39991454817346722"/>
        </bottom>
        <vertical style="thin">
          <color theme="4" tint="0.39991454817346722"/>
        </vertical>
        <horizontal style="thin">
          <color theme="4" tint="0.39991454817346722"/>
        </horizontal>
      </border>
    </dxf>
    <dxf>
      <border>
        <left style="thin">
          <color theme="4" tint="0.39991454817346722"/>
        </left>
        <right style="thin">
          <color theme="4" tint="0.39991454817346722"/>
        </right>
        <top style="thin">
          <color theme="4" tint="0.39991454817346722"/>
        </top>
        <bottom style="thin">
          <color theme="4" tint="0.39991454817346722"/>
        </bottom>
        <vertical style="thin">
          <color theme="4" tint="0.39991454817346722"/>
        </vertical>
        <horizontal style="thin">
          <color theme="4" tint="0.39991454817346722"/>
        </horizontal>
      </border>
    </dxf>
    <dxf>
      <border>
        <left style="thin">
          <color theme="4" tint="0.39991454817346722"/>
        </left>
        <right style="thin">
          <color theme="4" tint="0.39991454817346722"/>
        </right>
        <top style="thin">
          <color theme="4" tint="0.39991454817346722"/>
        </top>
        <bottom style="thin">
          <color theme="4" tint="0.39991454817346722"/>
        </bottom>
        <vertical style="thin">
          <color theme="4" tint="0.39991454817346722"/>
        </vertical>
        <horizontal style="thin">
          <color theme="4" tint="0.39991454817346722"/>
        </horizontal>
      </border>
    </dxf>
    <dxf>
      <font>
        <sz val="12"/>
      </font>
    </dxf>
    <dxf>
      <font>
        <sz val="12"/>
      </font>
    </dxf>
    <dxf>
      <font>
        <sz val="12"/>
      </font>
    </dxf>
    <dxf>
      <font>
        <sz val="12"/>
      </font>
    </dxf>
    <dxf>
      <font>
        <sz val="12"/>
      </font>
    </dxf>
    <dxf>
      <font>
        <sz val="12"/>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numFmt numFmtId="167" formatCode="&quot;$&quot;#,##0"/>
    </dxf>
    <dxf>
      <font>
        <sz val="14"/>
      </font>
    </dxf>
    <dxf>
      <font>
        <sz val="14"/>
      </font>
    </dxf>
    <dxf>
      <numFmt numFmtId="13" formatCode="0%"/>
    </dxf>
    <dxf>
      <font>
        <sz val="14"/>
      </font>
    </dxf>
    <dxf>
      <font>
        <sz val="14"/>
      </font>
    </dxf>
    <dxf>
      <font>
        <sz val="14"/>
      </font>
    </dxf>
    <dxf>
      <font>
        <sz val="14"/>
      </font>
    </dxf>
    <dxf>
      <font>
        <sz val="14"/>
      </font>
    </dxf>
    <dxf>
      <font>
        <sz val="14"/>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font>
        <name val="Segoe UI Semibold"/>
        <scheme val="none"/>
      </font>
    </dxf>
    <dxf>
      <numFmt numFmtId="13" formatCode="0%"/>
    </dxf>
    <dxf>
      <font>
        <strike val="0"/>
        <outline val="0"/>
        <shadow val="0"/>
        <u val="none"/>
        <vertAlign val="baseline"/>
        <sz val="10"/>
        <color theme="1"/>
        <name val="Segoe UI Variable Display Semib"/>
        <scheme val="none"/>
      </font>
      <numFmt numFmtId="13" formatCode="0%"/>
    </dxf>
    <dxf>
      <font>
        <strike val="0"/>
        <outline val="0"/>
        <shadow val="0"/>
        <u val="none"/>
        <vertAlign val="baseline"/>
        <sz val="10"/>
        <color theme="1"/>
        <name val="Segoe UI Variable Display Semib"/>
        <scheme val="none"/>
      </font>
      <numFmt numFmtId="167" formatCode="&quot;$&quot;#,##0"/>
    </dxf>
    <dxf>
      <font>
        <strike val="0"/>
        <outline val="0"/>
        <shadow val="0"/>
        <u val="none"/>
        <vertAlign val="baseline"/>
        <sz val="10"/>
        <color theme="1"/>
        <name val="Segoe UI Variable Display Semib"/>
        <scheme val="none"/>
      </font>
      <numFmt numFmtId="167" formatCode="&quot;$&quot;#,##0"/>
    </dxf>
    <dxf>
      <font>
        <strike val="0"/>
        <outline val="0"/>
        <shadow val="0"/>
        <u val="none"/>
        <vertAlign val="baseline"/>
        <sz val="10"/>
        <color theme="1"/>
        <name val="Segoe UI Variable Display Semib"/>
        <scheme val="none"/>
      </font>
      <numFmt numFmtId="167" formatCode="&quot;$&quot;#,##0"/>
    </dxf>
    <dxf>
      <font>
        <strike val="0"/>
        <outline val="0"/>
        <shadow val="0"/>
        <u val="none"/>
        <vertAlign val="baseline"/>
        <sz val="10"/>
        <color theme="1"/>
        <name val="Segoe UI Variable Display Semib"/>
        <scheme val="none"/>
      </font>
      <numFmt numFmtId="13" formatCode="0%"/>
    </dxf>
    <dxf>
      <font>
        <strike val="0"/>
        <outline val="0"/>
        <shadow val="0"/>
        <u val="none"/>
        <vertAlign val="baseline"/>
        <sz val="10"/>
        <color theme="1"/>
        <name val="Segoe UI Variable Display Semib"/>
        <scheme val="none"/>
      </font>
      <numFmt numFmtId="167" formatCode="&quot;$&quot;#,##0"/>
    </dxf>
    <dxf>
      <font>
        <strike val="0"/>
        <outline val="0"/>
        <shadow val="0"/>
        <u val="none"/>
        <vertAlign val="baseline"/>
        <sz val="10"/>
        <color theme="1"/>
        <name val="Segoe UI Variable Display Semib"/>
        <scheme val="none"/>
      </font>
    </dxf>
    <dxf>
      <font>
        <strike val="0"/>
        <outline val="0"/>
        <shadow val="0"/>
        <u val="none"/>
        <vertAlign val="baseline"/>
        <sz val="10"/>
        <color theme="1"/>
        <name val="Segoe UI Variable Display Semib"/>
        <scheme val="none"/>
      </font>
    </dxf>
    <dxf>
      <font>
        <strike val="0"/>
        <outline val="0"/>
        <shadow val="0"/>
        <u val="none"/>
        <vertAlign val="baseline"/>
        <sz val="10"/>
        <color theme="1"/>
        <name val="Segoe UI Variable Display Semib"/>
        <scheme val="none"/>
      </font>
    </dxf>
    <dxf>
      <font>
        <strike val="0"/>
        <outline val="0"/>
        <shadow val="0"/>
        <u val="none"/>
        <vertAlign val="baseline"/>
        <sz val="10"/>
        <color theme="1"/>
        <name val="Segoe UI Variable Display Semib"/>
        <scheme val="none"/>
      </font>
    </dxf>
    <dxf>
      <font>
        <strike val="0"/>
        <outline val="0"/>
        <shadow val="0"/>
        <u val="none"/>
        <vertAlign val="baseline"/>
        <sz val="10"/>
        <color theme="1"/>
        <name val="Segoe UI Variable Display Semib"/>
        <scheme val="none"/>
      </font>
      <numFmt numFmtId="164" formatCode="yyyy\-mm\-dd"/>
    </dxf>
    <dxf>
      <font>
        <strike val="0"/>
        <outline val="0"/>
        <shadow val="0"/>
        <u val="none"/>
        <vertAlign val="baseline"/>
        <sz val="10"/>
        <color theme="1"/>
        <name val="Segoe UI Variable Display Semib"/>
        <scheme val="none"/>
      </font>
    </dxf>
    <dxf>
      <font>
        <strike val="0"/>
        <outline val="0"/>
        <shadow val="0"/>
        <u val="none"/>
        <vertAlign val="baseline"/>
        <sz val="10"/>
        <color theme="1"/>
        <name val="Segoe UI Variable Display Semib"/>
        <scheme val="none"/>
      </font>
    </dxf>
    <dxf>
      <border>
        <bottom style="thin">
          <color theme="3" tint="0.39994506668294322"/>
        </bottom>
      </border>
    </dxf>
    <dxf>
      <font>
        <b/>
        <i val="0"/>
        <strike val="0"/>
        <condense val="0"/>
        <extend val="0"/>
        <outline val="0"/>
        <shadow val="0"/>
        <u val="none"/>
        <vertAlign val="baseline"/>
        <sz val="11"/>
        <color theme="1" tint="0.14999847407452621"/>
        <name val="Calibri"/>
        <scheme val="none"/>
      </font>
      <fill>
        <patternFill patternType="solid">
          <fgColor indexed="64"/>
          <bgColor theme="3" tint="0.59999389629810485"/>
        </patternFill>
      </fill>
      <alignment horizontal="left" vertical="bottom" textRotation="0" wrapText="0" indent="0" justifyLastLine="0" shrinkToFit="0" readingOrder="0"/>
      <border diagonalUp="0" diagonalDown="0" outline="0">
        <left style="thin">
          <color theme="3" tint="0.39994506668294322"/>
        </left>
        <right style="thin">
          <color theme="3" tint="0.39994506668294322"/>
        </right>
        <top/>
        <bottom/>
      </border>
    </dxf>
  </dxfs>
  <tableStyles count="0" defaultTableStyle="TableStyleMedium9" defaultPivotStyle="PivotStyleLight16"/>
  <colors>
    <mruColors>
      <color rgb="FF4F81BD"/>
      <color rgb="FF6792C5"/>
      <color rgb="FFF5EAA7"/>
      <color rgb="FF3072C2"/>
      <color rgb="FF21518B"/>
      <color rgb="FFEAF0F6"/>
      <color rgb="FF245794"/>
      <color rgb="FF4578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Excel Project emran.xlsx]Analysis!PivotTable11</c:name>
    <c:fmtId val="3"/>
  </c:pivotSource>
  <c:chart>
    <c:title>
      <c:tx>
        <c:rich>
          <a:bodyPr rot="0" spcFirstLastPara="1" vertOverflow="ellipsis" vert="horz" wrap="square" anchor="ctr" anchorCtr="1"/>
          <a:lstStyle/>
          <a:p>
            <a:pPr algn="ctr" rtl="0">
              <a:defRPr lang="en-US" sz="1100" b="1" i="0" u="none" strike="noStrike" kern="1200" spc="0" baseline="0">
                <a:solidFill>
                  <a:srgbClr val="1F497D"/>
                </a:solidFill>
                <a:latin typeface="Segoe UI Semibold" panose="020B0702040204020203" pitchFamily="34" charset="0"/>
                <a:ea typeface="+mn-ea"/>
                <a:cs typeface="Segoe UI Semibold" panose="020B0702040204020203" pitchFamily="34" charset="0"/>
              </a:defRPr>
            </a:pPr>
            <a:r>
              <a:rPr lang="en-US" sz="1100" b="1" i="0" u="none" strike="noStrike" kern="1200" baseline="0">
                <a:solidFill>
                  <a:srgbClr val="1F497D"/>
                </a:solidFill>
                <a:latin typeface="Segoe UI Semibold" panose="020B0702040204020203" pitchFamily="34" charset="0"/>
                <a:ea typeface="+mn-ea"/>
                <a:cs typeface="Segoe UI Semibold" panose="020B0702040204020203" pitchFamily="34" charset="0"/>
              </a:rPr>
              <a:t>MONTHLY PROFIT</a:t>
            </a:r>
          </a:p>
        </c:rich>
      </c:tx>
      <c:layout>
        <c:manualLayout>
          <c:xMode val="edge"/>
          <c:yMode val="edge"/>
          <c:x val="0.38467817412474736"/>
          <c:y val="3.6016286188032098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1F497D"/>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tailEnd type="arrow" w="sm" len="sm"/>
          </a:ln>
          <a:effectLst>
            <a:glow rad="254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0310184760611"/>
          <c:y val="0.1290255905511811"/>
          <c:w val="0.80674291415993193"/>
          <c:h val="0.66737350539515894"/>
        </c:manualLayout>
      </c:layout>
      <c:lineChart>
        <c:grouping val="standard"/>
        <c:varyColors val="0"/>
        <c:ser>
          <c:idx val="0"/>
          <c:order val="0"/>
          <c:tx>
            <c:strRef>
              <c:f>Analysis!$C$37</c:f>
              <c:strCache>
                <c:ptCount val="1"/>
                <c:pt idx="0">
                  <c:v>Total</c:v>
                </c:pt>
              </c:strCache>
            </c:strRef>
          </c:tx>
          <c:spPr>
            <a:ln w="28575" cap="rnd">
              <a:solidFill>
                <a:schemeClr val="accent1"/>
              </a:solidFill>
              <a:round/>
              <a:tailEnd type="arrow" w="sm" len="sm"/>
            </a:ln>
            <a:effectLst>
              <a:glow rad="25400">
                <a:schemeClr val="accent1">
                  <a:satMod val="175000"/>
                  <a:alpha val="40000"/>
                </a:schemeClr>
              </a:glow>
            </a:effectLst>
          </c:spPr>
          <c:marker>
            <c:symbol val="none"/>
          </c:marker>
          <c:cat>
            <c:strRef>
              <c:f>Analysis!$B$38:$B$50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Analysis!$C$38:$C$50</c:f>
              <c:numCache>
                <c:formatCode>"$"#,##0</c:formatCode>
                <c:ptCount val="12"/>
                <c:pt idx="0">
                  <c:v>135889.70000000001</c:v>
                </c:pt>
                <c:pt idx="1">
                  <c:v>67939.42</c:v>
                </c:pt>
                <c:pt idx="2">
                  <c:v>106752.27999999997</c:v>
                </c:pt>
                <c:pt idx="3">
                  <c:v>79047.579999999987</c:v>
                </c:pt>
                <c:pt idx="4">
                  <c:v>76031.770000000019</c:v>
                </c:pt>
                <c:pt idx="5">
                  <c:v>135972.10000000003</c:v>
                </c:pt>
                <c:pt idx="6">
                  <c:v>68761.55</c:v>
                </c:pt>
                <c:pt idx="7">
                  <c:v>103987.20999999998</c:v>
                </c:pt>
                <c:pt idx="8">
                  <c:v>98594.889999999985</c:v>
                </c:pt>
                <c:pt idx="9">
                  <c:v>112594.14999999998</c:v>
                </c:pt>
                <c:pt idx="10">
                  <c:v>116216.59999999999</c:v>
                </c:pt>
                <c:pt idx="11">
                  <c:v>153647.75</c:v>
                </c:pt>
              </c:numCache>
            </c:numRef>
          </c:val>
          <c:smooth val="0"/>
          <c:extLst>
            <c:ext xmlns:c16="http://schemas.microsoft.com/office/drawing/2014/chart" uri="{C3380CC4-5D6E-409C-BE32-E72D297353CC}">
              <c16:uniqueId val="{00000000-DEB0-47F0-9AAA-60BE6761B9D2}"/>
            </c:ext>
          </c:extLst>
        </c:ser>
        <c:dLbls>
          <c:showLegendKey val="0"/>
          <c:showVal val="0"/>
          <c:showCatName val="0"/>
          <c:showSerName val="0"/>
          <c:showPercent val="0"/>
          <c:showBubbleSize val="0"/>
        </c:dLbls>
        <c:smooth val="0"/>
        <c:axId val="937130591"/>
        <c:axId val="937114271"/>
      </c:lineChart>
      <c:catAx>
        <c:axId val="937130591"/>
        <c:scaling>
          <c:orientation val="minMax"/>
        </c:scaling>
        <c:delete val="0"/>
        <c:axPos val="b"/>
        <c:majorGridlines>
          <c:spPr>
            <a:ln w="9525" cap="flat" cmpd="sng" algn="ctr">
              <a:solidFill>
                <a:schemeClr val="accent1">
                  <a:lumMod val="40000"/>
                  <a:lumOff val="60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crossAx val="937114271"/>
        <c:crosses val="autoZero"/>
        <c:auto val="1"/>
        <c:lblAlgn val="ctr"/>
        <c:lblOffset val="100"/>
        <c:noMultiLvlLbl val="0"/>
      </c:catAx>
      <c:valAx>
        <c:axId val="937114271"/>
        <c:scaling>
          <c:orientation val="minMax"/>
        </c:scaling>
        <c:delete val="0"/>
        <c:axPos val="l"/>
        <c:majorGridlines>
          <c:spPr>
            <a:ln w="9525" cap="flat" cmpd="sng" algn="ctr">
              <a:solidFill>
                <a:schemeClr val="accent1">
                  <a:lumMod val="40000"/>
                  <a:lumOff val="6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crossAx val="93713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100000">
          <a:srgbClr val="EAF0F6"/>
        </a:gs>
      </a:gsLst>
      <a:lin ang="5400000" scaled="1"/>
    </a:gradFill>
    <a:ln w="9525" cap="flat" cmpd="sng" algn="ctr">
      <a:no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Excel Project emran.xlsx]Analysis!PivotTable12</c:name>
    <c:fmtId val="11"/>
  </c:pivotSource>
  <c:chart>
    <c:title>
      <c:tx>
        <c:rich>
          <a:bodyPr rot="0" spcFirstLastPara="1" vertOverflow="ellipsis" vert="horz" wrap="square" anchor="ctr" anchorCtr="1"/>
          <a:lstStyle/>
          <a:p>
            <a:pPr algn="ctr" rtl="0">
              <a:defRPr lang="en-US" sz="1100" b="1" i="0" u="none" strike="noStrike" kern="1200" cap="none" spc="20" baseline="0">
                <a:solidFill>
                  <a:srgbClr val="1F497D"/>
                </a:solidFill>
                <a:latin typeface="Segoe UI Semibold" panose="020B0702040204020203" pitchFamily="34" charset="0"/>
                <a:ea typeface="+mn-ea"/>
                <a:cs typeface="Segoe UI Semibold" panose="020B0702040204020203" pitchFamily="34" charset="0"/>
              </a:defRPr>
            </a:pPr>
            <a:r>
              <a:rPr lang="en-US" sz="1100" b="1" i="0" u="none" strike="noStrike" kern="1200" baseline="0">
                <a:solidFill>
                  <a:srgbClr val="1F497D"/>
                </a:solidFill>
                <a:latin typeface="Segoe UI Semibold" panose="020B0702040204020203" pitchFamily="34" charset="0"/>
                <a:ea typeface="+mn-ea"/>
                <a:cs typeface="Segoe UI Semibold" panose="020B0702040204020203" pitchFamily="34" charset="0"/>
              </a:rPr>
              <a:t>MONTHLY REVENUE</a:t>
            </a:r>
          </a:p>
        </c:rich>
      </c:tx>
      <c:layout>
        <c:manualLayout>
          <c:xMode val="edge"/>
          <c:yMode val="edge"/>
          <c:x val="0.36225889994297206"/>
          <c:y val="3.1534814814814814E-2"/>
        </c:manualLayout>
      </c:layout>
      <c:overlay val="0"/>
      <c:spPr>
        <a:noFill/>
        <a:ln>
          <a:noFill/>
        </a:ln>
        <a:effectLst/>
      </c:spPr>
      <c:txPr>
        <a:bodyPr rot="0" spcFirstLastPara="1" vertOverflow="ellipsis" vert="horz" wrap="square" anchor="ctr" anchorCtr="1"/>
        <a:lstStyle/>
        <a:p>
          <a:pPr algn="ctr" rtl="0">
            <a:defRPr lang="en-US" sz="1100" b="1" i="0" u="none" strike="noStrike" kern="1200" cap="none" spc="20" baseline="0">
              <a:solidFill>
                <a:srgbClr val="1F497D"/>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tailEnd type="arrow" w="sm" len="sm"/>
          </a:ln>
          <a:effectLst>
            <a:glow rad="25400">
              <a:schemeClr val="accent1">
                <a:satMod val="175000"/>
                <a:alpha val="40000"/>
              </a:schemeClr>
            </a:glow>
          </a:effectLst>
        </c:spPr>
        <c:marker>
          <c:symbol val="circle"/>
          <c:size val="4"/>
          <c:spPr>
            <a:noFill/>
            <a:ln w="9525" cap="flat" cmpd="sng" algn="ctr">
              <a:noFill/>
              <a:round/>
            </a:ln>
            <a:effectLst>
              <a:glow rad="254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2270341207349"/>
          <c:y val="0.13365522018081072"/>
          <c:w val="0.81426574803149598"/>
          <c:h val="0.66737350539515894"/>
        </c:manualLayout>
      </c:layout>
      <c:lineChart>
        <c:grouping val="standard"/>
        <c:varyColors val="0"/>
        <c:ser>
          <c:idx val="0"/>
          <c:order val="0"/>
          <c:tx>
            <c:strRef>
              <c:f>Analysis!$E$37</c:f>
              <c:strCache>
                <c:ptCount val="1"/>
                <c:pt idx="0">
                  <c:v>Total</c:v>
                </c:pt>
              </c:strCache>
            </c:strRef>
          </c:tx>
          <c:spPr>
            <a:ln w="22225" cap="rnd" cmpd="sng" algn="ctr">
              <a:solidFill>
                <a:schemeClr val="accent1"/>
              </a:solidFill>
              <a:round/>
              <a:tailEnd type="arrow" w="sm" len="sm"/>
            </a:ln>
            <a:effectLst>
              <a:glow rad="25400">
                <a:schemeClr val="accent1">
                  <a:satMod val="175000"/>
                  <a:alpha val="40000"/>
                </a:schemeClr>
              </a:glow>
            </a:effectLst>
          </c:spPr>
          <c:marker>
            <c:symbol val="circle"/>
            <c:size val="4"/>
            <c:spPr>
              <a:noFill/>
              <a:ln w="9525" cap="flat" cmpd="sng" algn="ctr">
                <a:noFill/>
                <a:round/>
              </a:ln>
              <a:effectLst>
                <a:glow rad="25400">
                  <a:schemeClr val="accent1">
                    <a:satMod val="175000"/>
                    <a:alpha val="40000"/>
                  </a:schemeClr>
                </a:glow>
              </a:effectLst>
            </c:spPr>
          </c:marker>
          <c:cat>
            <c:strRef>
              <c:f>Analysis!$D$38:$D$50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Analysis!$E$38:$E$50</c:f>
              <c:numCache>
                <c:formatCode>"$"#,##0</c:formatCode>
                <c:ptCount val="12"/>
                <c:pt idx="0">
                  <c:v>51780.580000000009</c:v>
                </c:pt>
                <c:pt idx="1">
                  <c:v>26028.31</c:v>
                </c:pt>
                <c:pt idx="2">
                  <c:v>43314.600000000006</c:v>
                </c:pt>
                <c:pt idx="3">
                  <c:v>30997.09</c:v>
                </c:pt>
                <c:pt idx="4">
                  <c:v>28459.77</c:v>
                </c:pt>
                <c:pt idx="5">
                  <c:v>51563.649999999994</c:v>
                </c:pt>
                <c:pt idx="6">
                  <c:v>22882.589999999997</c:v>
                </c:pt>
                <c:pt idx="7">
                  <c:v>41295.35</c:v>
                </c:pt>
                <c:pt idx="8">
                  <c:v>36427.579999999994</c:v>
                </c:pt>
                <c:pt idx="9">
                  <c:v>37406.039999999994</c:v>
                </c:pt>
                <c:pt idx="10">
                  <c:v>42800.840000000004</c:v>
                </c:pt>
                <c:pt idx="11">
                  <c:v>59712.080000000009</c:v>
                </c:pt>
              </c:numCache>
            </c:numRef>
          </c:val>
          <c:smooth val="0"/>
          <c:extLst>
            <c:ext xmlns:c16="http://schemas.microsoft.com/office/drawing/2014/chart" uri="{C3380CC4-5D6E-409C-BE32-E72D297353CC}">
              <c16:uniqueId val="{00000000-D58E-4C26-9E90-46E38349F3C0}"/>
            </c:ext>
          </c:extLst>
        </c:ser>
        <c:dLbls>
          <c:showLegendKey val="0"/>
          <c:showVal val="0"/>
          <c:showCatName val="0"/>
          <c:showSerName val="0"/>
          <c:showPercent val="0"/>
          <c:showBubbleSize val="0"/>
        </c:dLbls>
        <c:dropLines>
          <c:spPr>
            <a:ln w="9525" cap="flat" cmpd="sng" algn="ctr">
              <a:solidFill>
                <a:schemeClr val="accent1">
                  <a:lumMod val="40000"/>
                  <a:lumOff val="60000"/>
                  <a:alpha val="33000"/>
                </a:schemeClr>
              </a:solidFill>
              <a:round/>
            </a:ln>
            <a:effectLst/>
          </c:spPr>
        </c:dropLines>
        <c:marker val="1"/>
        <c:smooth val="0"/>
        <c:axId val="1036547439"/>
        <c:axId val="1036538319"/>
      </c:lineChart>
      <c:catAx>
        <c:axId val="1036547439"/>
        <c:scaling>
          <c:orientation val="minMax"/>
        </c:scaling>
        <c:delete val="0"/>
        <c:axPos val="b"/>
        <c:majorGridlines>
          <c:spPr>
            <a:ln>
              <a:solidFill>
                <a:schemeClr val="accent1">
                  <a:lumMod val="40000"/>
                  <a:lumOff val="60000"/>
                </a:schemeClr>
              </a:solidFill>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crossAx val="1036538319"/>
        <c:crosses val="autoZero"/>
        <c:auto val="1"/>
        <c:lblAlgn val="ctr"/>
        <c:lblOffset val="100"/>
        <c:noMultiLvlLbl val="0"/>
      </c:catAx>
      <c:valAx>
        <c:axId val="1036538319"/>
        <c:scaling>
          <c:orientation val="minMax"/>
        </c:scaling>
        <c:delete val="0"/>
        <c:axPos val="l"/>
        <c:majorGridlines>
          <c:spPr>
            <a:ln>
              <a:solidFill>
                <a:schemeClr val="accent1">
                  <a:lumMod val="40000"/>
                  <a:lumOff val="60000"/>
                </a:schemeClr>
              </a:solidFill>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spc="20" baseline="0">
                <a:solidFill>
                  <a:schemeClr val="tx2"/>
                </a:solidFill>
                <a:latin typeface="Segoe UI Variable Display Semib" pitchFamily="2" charset="0"/>
                <a:ea typeface="+mn-ea"/>
                <a:cs typeface="+mn-cs"/>
              </a:defRPr>
            </a:pPr>
            <a:endParaRPr lang="en-US"/>
          </a:p>
        </c:txPr>
        <c:crossAx val="10365474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100000">
          <a:srgbClr val="EAF0F6"/>
        </a:gs>
      </a:gsLst>
      <a:lin ang="5400000" scaled="1"/>
    </a:gradFill>
    <a:ln w="9525" cap="flat" cmpd="sng" algn="ctr">
      <a:no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Excel Project emran.xlsx]Analysis!PivotTable13</c:name>
    <c:fmtId val="16"/>
  </c:pivotSource>
  <c:chart>
    <c:title>
      <c:tx>
        <c:rich>
          <a:bodyPr rot="0" spcFirstLastPara="1" vertOverflow="ellipsis" vert="horz" wrap="square" anchor="ctr" anchorCtr="1"/>
          <a:lstStyle/>
          <a:p>
            <a:pPr algn="ctr" rtl="0">
              <a:defRPr lang="en-US" sz="1100" b="1" i="0" u="none" strike="noStrike" kern="1200" spc="0" baseline="0">
                <a:solidFill>
                  <a:srgbClr val="1F497D"/>
                </a:solidFill>
                <a:latin typeface="Segoe UI Semibold" panose="020B0702040204020203" pitchFamily="34" charset="0"/>
                <a:ea typeface="+mn-ea"/>
                <a:cs typeface="Segoe UI Semibold" panose="020B0702040204020203" pitchFamily="34" charset="0"/>
              </a:defRPr>
            </a:pPr>
            <a:r>
              <a:rPr lang="en-US" sz="1100" b="1" i="0" u="none" strike="noStrike" kern="1200" baseline="0">
                <a:solidFill>
                  <a:srgbClr val="1F497D"/>
                </a:solidFill>
                <a:latin typeface="Segoe UI Semibold" panose="020B0702040204020203" pitchFamily="34" charset="0"/>
                <a:ea typeface="+mn-ea"/>
                <a:cs typeface="Segoe UI Semibold" panose="020B0702040204020203" pitchFamily="34" charset="0"/>
              </a:rPr>
              <a:t>REVENUE BY REGION</a:t>
            </a:r>
          </a:p>
        </c:rich>
      </c:tx>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1F497D"/>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3072C2"/>
              </a:gs>
              <a:gs pos="99000">
                <a:srgbClr val="245794"/>
              </a:gs>
            </a:gsLst>
            <a:lin ang="5400000" scaled="1"/>
          </a:gra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3072C2"/>
              </a:gs>
              <a:gs pos="100000">
                <a:srgbClr val="21518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Analysis!$E$52</c:f>
              <c:strCache>
                <c:ptCount val="1"/>
                <c:pt idx="0">
                  <c:v>Total</c:v>
                </c:pt>
              </c:strCache>
            </c:strRef>
          </c:tx>
          <c:spPr>
            <a:gradFill>
              <a:gsLst>
                <a:gs pos="0">
                  <a:srgbClr val="3072C2"/>
                </a:gs>
                <a:gs pos="100000">
                  <a:srgbClr val="21518B"/>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Analysis!$D$53:$D$57</c:f>
              <c:strCache>
                <c:ptCount val="4"/>
                <c:pt idx="0">
                  <c:v>East</c:v>
                </c:pt>
                <c:pt idx="1">
                  <c:v>North</c:v>
                </c:pt>
                <c:pt idx="2">
                  <c:v>South</c:v>
                </c:pt>
                <c:pt idx="3">
                  <c:v>West</c:v>
                </c:pt>
              </c:strCache>
            </c:strRef>
          </c:cat>
          <c:val>
            <c:numRef>
              <c:f>Analysis!$E$53:$E$57</c:f>
              <c:numCache>
                <c:formatCode>"$"#,##0</c:formatCode>
                <c:ptCount val="4"/>
                <c:pt idx="0">
                  <c:v>375374.81</c:v>
                </c:pt>
                <c:pt idx="1">
                  <c:v>305436.6399999999</c:v>
                </c:pt>
                <c:pt idx="2">
                  <c:v>304355.21999999997</c:v>
                </c:pt>
                <c:pt idx="3">
                  <c:v>270268.33000000007</c:v>
                </c:pt>
              </c:numCache>
            </c:numRef>
          </c:val>
          <c:extLst>
            <c:ext xmlns:c16="http://schemas.microsoft.com/office/drawing/2014/chart" uri="{C3380CC4-5D6E-409C-BE32-E72D297353CC}">
              <c16:uniqueId val="{00000000-6A39-4C70-B818-33D6F6CFEF5B}"/>
            </c:ext>
          </c:extLst>
        </c:ser>
        <c:dLbls>
          <c:dLblPos val="outEnd"/>
          <c:showLegendKey val="0"/>
          <c:showVal val="1"/>
          <c:showCatName val="0"/>
          <c:showSerName val="0"/>
          <c:showPercent val="0"/>
          <c:showBubbleSize val="0"/>
        </c:dLbls>
        <c:gapWidth val="219"/>
        <c:overlap val="-27"/>
        <c:axId val="1036541199"/>
        <c:axId val="1036549839"/>
      </c:barChart>
      <c:catAx>
        <c:axId val="1036541199"/>
        <c:scaling>
          <c:orientation val="minMax"/>
        </c:scaling>
        <c:delete val="0"/>
        <c:axPos val="b"/>
        <c:majorGridlines>
          <c:spPr>
            <a:ln w="9525" cap="flat" cmpd="sng" algn="ctr">
              <a:solidFill>
                <a:schemeClr val="accent1">
                  <a:lumMod val="40000"/>
                  <a:lumOff val="60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crossAx val="1036549839"/>
        <c:crosses val="autoZero"/>
        <c:auto val="1"/>
        <c:lblAlgn val="ctr"/>
        <c:lblOffset val="100"/>
        <c:noMultiLvlLbl val="0"/>
      </c:catAx>
      <c:valAx>
        <c:axId val="1036549839"/>
        <c:scaling>
          <c:orientation val="minMax"/>
        </c:scaling>
        <c:delete val="0"/>
        <c:axPos val="l"/>
        <c:majorGridlines>
          <c:spPr>
            <a:ln w="9525" cap="flat" cmpd="sng" algn="ctr">
              <a:solidFill>
                <a:schemeClr val="accent1">
                  <a:lumMod val="40000"/>
                  <a:lumOff val="6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crossAx val="103654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100000">
          <a:srgbClr val="EAF0F6"/>
        </a:gs>
      </a:gsLst>
      <a:lin ang="5400000" scaled="1"/>
    </a:gradFill>
    <a:ln w="9525" cap="flat" cmpd="sng" algn="ctr">
      <a:no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Excel Project emran.xlsx]Analysis!PivotTable15</c:name>
    <c:fmtId val="23"/>
  </c:pivotSource>
  <c:chart>
    <c:title>
      <c:tx>
        <c:rich>
          <a:bodyPr rot="0" spcFirstLastPara="1" vertOverflow="ellipsis" vert="horz" wrap="square" anchor="ctr" anchorCtr="1"/>
          <a:lstStyle/>
          <a:p>
            <a:pPr>
              <a:defRPr sz="1100" b="1" i="0" u="none" strike="noStrike" kern="1200" baseline="0">
                <a:solidFill>
                  <a:schemeClr val="tx2"/>
                </a:solidFill>
                <a:latin typeface="Segoe UI Semibold" panose="020B0702040204020203" pitchFamily="34" charset="0"/>
                <a:ea typeface="+mn-ea"/>
                <a:cs typeface="Segoe UI Semibold" panose="020B0702040204020203" pitchFamily="34" charset="0"/>
              </a:defRPr>
            </a:pPr>
            <a:r>
              <a:rPr lang="en-US" sz="1100">
                <a:latin typeface="Segoe UI Semibold" panose="020B0702040204020203" pitchFamily="34" charset="0"/>
                <a:cs typeface="Segoe UI Semibold" panose="020B0702040204020203" pitchFamily="34" charset="0"/>
              </a:rPr>
              <a:t>CHANNEL</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Analysis!$C$52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Analysis!$B$53:$B$56</c:f>
              <c:strCache>
                <c:ptCount val="3"/>
                <c:pt idx="0">
                  <c:v>Marketplace</c:v>
                </c:pt>
                <c:pt idx="1">
                  <c:v>Retail</c:v>
                </c:pt>
                <c:pt idx="2">
                  <c:v>Website</c:v>
                </c:pt>
              </c:strCache>
            </c:strRef>
          </c:cat>
          <c:val>
            <c:numRef>
              <c:f>Analysis!$C$53:$C$56</c:f>
              <c:numCache>
                <c:formatCode>"$"#,##0</c:formatCode>
                <c:ptCount val="3"/>
                <c:pt idx="0">
                  <c:v>388620.63000000018</c:v>
                </c:pt>
                <c:pt idx="1">
                  <c:v>470505.22</c:v>
                </c:pt>
                <c:pt idx="2">
                  <c:v>396309.15000000008</c:v>
                </c:pt>
              </c:numCache>
            </c:numRef>
          </c:val>
          <c:extLst>
            <c:ext xmlns:c16="http://schemas.microsoft.com/office/drawing/2014/chart" uri="{C3380CC4-5D6E-409C-BE32-E72D297353CC}">
              <c16:uniqueId val="{00000000-EDB1-43DD-99B3-40F9F851EE65}"/>
            </c:ext>
          </c:extLst>
        </c:ser>
        <c:dLbls>
          <c:showLegendKey val="0"/>
          <c:showVal val="0"/>
          <c:showCatName val="0"/>
          <c:showSerName val="0"/>
          <c:showPercent val="0"/>
          <c:showBubbleSize val="0"/>
        </c:dLbls>
        <c:gapWidth val="100"/>
        <c:overlap val="-24"/>
        <c:axId val="1036536879"/>
        <c:axId val="1036537839"/>
      </c:barChart>
      <c:catAx>
        <c:axId val="103653687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crossAx val="1036537839"/>
        <c:crosses val="autoZero"/>
        <c:auto val="1"/>
        <c:lblAlgn val="ctr"/>
        <c:lblOffset val="100"/>
        <c:noMultiLvlLbl val="0"/>
      </c:catAx>
      <c:valAx>
        <c:axId val="1036537839"/>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crossAx val="103653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100000">
          <a:srgbClr val="EAF0F6"/>
        </a:gs>
      </a:gsLst>
      <a:lin ang="5400000" scaled="1"/>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Excel Project emran.xlsx]Analysis!PivotTable17</c:name>
    <c:fmtId val="34"/>
  </c:pivotSource>
  <c:chart>
    <c:title>
      <c:tx>
        <c:rich>
          <a:bodyPr rot="0" spcFirstLastPara="1" vertOverflow="ellipsis" vert="horz" wrap="square" anchor="ctr" anchorCtr="1"/>
          <a:lstStyle/>
          <a:p>
            <a:pPr algn="ctr" rtl="0">
              <a:defRPr lang="en-US" sz="1100" b="1" i="0" u="none" strike="noStrike" kern="1200" spc="0" baseline="0">
                <a:solidFill>
                  <a:srgbClr val="1F497D"/>
                </a:solidFill>
                <a:latin typeface="Segoe UI Semibold" panose="020B0702040204020203" pitchFamily="34" charset="0"/>
                <a:ea typeface="+mn-ea"/>
                <a:cs typeface="Segoe UI Semibold" panose="020B0702040204020203" pitchFamily="34" charset="0"/>
              </a:defRPr>
            </a:pPr>
            <a:r>
              <a:rPr lang="en-US" sz="1100" b="1" i="0" u="none" strike="noStrike" kern="1200" baseline="0">
                <a:solidFill>
                  <a:srgbClr val="1F497D"/>
                </a:solidFill>
                <a:latin typeface="Segoe UI Semibold" panose="020B0702040204020203" pitchFamily="34" charset="0"/>
                <a:ea typeface="+mn-ea"/>
                <a:cs typeface="Segoe UI Semibold" panose="020B0702040204020203" pitchFamily="34" charset="0"/>
              </a:rPr>
              <a:t>TOP PRODUCTS</a:t>
            </a:r>
          </a:p>
        </c:rich>
      </c:tx>
      <c:layout>
        <c:manualLayout>
          <c:xMode val="edge"/>
          <c:yMode val="edge"/>
          <c:x val="0.40039989075149568"/>
          <c:y val="3.1427081560372105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1F497D"/>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60000"/>
                  <a:lumOff val="40000"/>
                </a:schemeClr>
              </a:gs>
              <a:gs pos="100000">
                <a:srgbClr val="245794"/>
              </a:gs>
            </a:gsLst>
            <a:lin ang="6600000" scaled="0"/>
          </a:gra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7000">
                <a:srgbClr val="3072C2"/>
              </a:gs>
              <a:gs pos="100000">
                <a:srgbClr val="21518B"/>
              </a:gs>
            </a:gsLst>
            <a:lin ang="6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77492923249886"/>
          <c:y val="0.17532188684747738"/>
          <c:w val="0.77562088540838225"/>
          <c:h val="0.71727872557596972"/>
        </c:manualLayout>
      </c:layout>
      <c:barChart>
        <c:barDir val="bar"/>
        <c:grouping val="clustered"/>
        <c:varyColors val="0"/>
        <c:ser>
          <c:idx val="0"/>
          <c:order val="0"/>
          <c:tx>
            <c:strRef>
              <c:f>Analysis!$G$37</c:f>
              <c:strCache>
                <c:ptCount val="1"/>
                <c:pt idx="0">
                  <c:v>Total</c:v>
                </c:pt>
              </c:strCache>
            </c:strRef>
          </c:tx>
          <c:spPr>
            <a:gradFill>
              <a:gsLst>
                <a:gs pos="17000">
                  <a:srgbClr val="3072C2"/>
                </a:gs>
                <a:gs pos="100000">
                  <a:srgbClr val="21518B"/>
                </a:gs>
              </a:gsLst>
              <a:lin ang="6000000" scaled="0"/>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Analysis!$F$38:$F$46</c:f>
              <c:strCache>
                <c:ptCount val="8"/>
                <c:pt idx="0">
                  <c:v>Headset</c:v>
                </c:pt>
                <c:pt idx="1">
                  <c:v>Office Chair</c:v>
                </c:pt>
                <c:pt idx="2">
                  <c:v>Webcam</c:v>
                </c:pt>
                <c:pt idx="3">
                  <c:v>Mouse</c:v>
                </c:pt>
                <c:pt idx="4">
                  <c:v>Laptop</c:v>
                </c:pt>
                <c:pt idx="5">
                  <c:v>Desk Lamp</c:v>
                </c:pt>
                <c:pt idx="6">
                  <c:v>Keyboard</c:v>
                </c:pt>
                <c:pt idx="7">
                  <c:v>Monitor</c:v>
                </c:pt>
              </c:strCache>
            </c:strRef>
          </c:cat>
          <c:val>
            <c:numRef>
              <c:f>Analysis!$G$38:$G$46</c:f>
              <c:numCache>
                <c:formatCode>"$"#,##0</c:formatCode>
                <c:ptCount val="8"/>
                <c:pt idx="0">
                  <c:v>177341.81000000006</c:v>
                </c:pt>
                <c:pt idx="1">
                  <c:v>173392.28</c:v>
                </c:pt>
                <c:pt idx="2">
                  <c:v>167533.85</c:v>
                </c:pt>
                <c:pt idx="3">
                  <c:v>164608.95000000007</c:v>
                </c:pt>
                <c:pt idx="4">
                  <c:v>164007.75999999995</c:v>
                </c:pt>
                <c:pt idx="5">
                  <c:v>141503.47000000003</c:v>
                </c:pt>
                <c:pt idx="6">
                  <c:v>139917.18999999994</c:v>
                </c:pt>
                <c:pt idx="7">
                  <c:v>127129.68999999997</c:v>
                </c:pt>
              </c:numCache>
            </c:numRef>
          </c:val>
          <c:extLst>
            <c:ext xmlns:c16="http://schemas.microsoft.com/office/drawing/2014/chart" uri="{C3380CC4-5D6E-409C-BE32-E72D297353CC}">
              <c16:uniqueId val="{00000000-F161-4400-BC5A-C300D72E7397}"/>
            </c:ext>
          </c:extLst>
        </c:ser>
        <c:dLbls>
          <c:dLblPos val="outEnd"/>
          <c:showLegendKey val="0"/>
          <c:showVal val="1"/>
          <c:showCatName val="0"/>
          <c:showSerName val="0"/>
          <c:showPercent val="0"/>
          <c:showBubbleSize val="0"/>
        </c:dLbls>
        <c:gapWidth val="182"/>
        <c:axId val="1036518159"/>
        <c:axId val="1036516239"/>
      </c:barChart>
      <c:catAx>
        <c:axId val="1036518159"/>
        <c:scaling>
          <c:orientation val="minMax"/>
        </c:scaling>
        <c:delete val="0"/>
        <c:axPos val="l"/>
        <c:majorGridlines>
          <c:spPr>
            <a:ln w="9525" cap="flat" cmpd="sng" algn="ctr">
              <a:solidFill>
                <a:schemeClr val="accent1">
                  <a:lumMod val="40000"/>
                  <a:lumOff val="60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spc="20" baseline="0">
                <a:solidFill>
                  <a:schemeClr val="tx2"/>
                </a:solidFill>
                <a:latin typeface="Segoe UI Variable Display Semib" pitchFamily="2" charset="0"/>
                <a:ea typeface="+mn-ea"/>
                <a:cs typeface="+mn-cs"/>
              </a:defRPr>
            </a:pPr>
            <a:endParaRPr lang="en-US"/>
          </a:p>
        </c:txPr>
        <c:crossAx val="1036516239"/>
        <c:crosses val="autoZero"/>
        <c:auto val="1"/>
        <c:lblAlgn val="ctr"/>
        <c:lblOffset val="100"/>
        <c:noMultiLvlLbl val="0"/>
      </c:catAx>
      <c:valAx>
        <c:axId val="1036516239"/>
        <c:scaling>
          <c:orientation val="minMax"/>
        </c:scaling>
        <c:delete val="1"/>
        <c:axPos val="b"/>
        <c:majorGridlines>
          <c:spPr>
            <a:ln w="9525" cap="flat" cmpd="sng" algn="ctr">
              <a:solidFill>
                <a:schemeClr val="accent1">
                  <a:lumMod val="40000"/>
                  <a:lumOff val="60000"/>
                </a:schemeClr>
              </a:solidFill>
              <a:round/>
            </a:ln>
            <a:effectLst/>
          </c:spPr>
        </c:majorGridlines>
        <c:numFmt formatCode="&quot;$&quot;#,##0" sourceLinked="1"/>
        <c:majorTickMark val="none"/>
        <c:minorTickMark val="none"/>
        <c:tickLblPos val="nextTo"/>
        <c:crossAx val="103651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100000">
          <a:srgbClr val="EAF0F6"/>
        </a:gs>
      </a:gsLst>
      <a:lin ang="5400000" scaled="1"/>
    </a:gradFill>
    <a:ln w="9525" cap="flat" cmpd="sng" algn="ctr">
      <a:no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4</xdr:col>
      <xdr:colOff>255858</xdr:colOff>
      <xdr:row>26</xdr:row>
      <xdr:rowOff>30067</xdr:rowOff>
    </xdr:from>
    <xdr:to>
      <xdr:col>14</xdr:col>
      <xdr:colOff>90128</xdr:colOff>
      <xdr:row>44</xdr:row>
      <xdr:rowOff>114708</xdr:rowOff>
    </xdr:to>
    <xdr:graphicFrame macro="">
      <xdr:nvGraphicFramePr>
        <xdr:cNvPr id="4" name="Chart 3">
          <a:extLst>
            <a:ext uri="{FF2B5EF4-FFF2-40B4-BE49-F238E27FC236}">
              <a16:creationId xmlns:a16="http://schemas.microsoft.com/office/drawing/2014/main" id="{188A9809-1BEC-4C01-8401-0882CD1B9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172064</xdr:colOff>
      <xdr:row>26</xdr:row>
      <xdr:rowOff>30924</xdr:rowOff>
    </xdr:from>
    <xdr:to>
      <xdr:col>24</xdr:col>
      <xdr:colOff>180258</xdr:colOff>
      <xdr:row>44</xdr:row>
      <xdr:rowOff>127931</xdr:rowOff>
    </xdr:to>
    <xdr:graphicFrame macro="">
      <xdr:nvGraphicFramePr>
        <xdr:cNvPr id="5" name="Chart 4">
          <a:extLst>
            <a:ext uri="{FF2B5EF4-FFF2-40B4-BE49-F238E27FC236}">
              <a16:creationId xmlns:a16="http://schemas.microsoft.com/office/drawing/2014/main" id="{6B350C9A-9A7E-408B-978D-FD586A389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501145</xdr:colOff>
      <xdr:row>9</xdr:row>
      <xdr:rowOff>139292</xdr:rowOff>
    </xdr:from>
    <xdr:to>
      <xdr:col>16</xdr:col>
      <xdr:colOff>497466</xdr:colOff>
      <xdr:row>25</xdr:row>
      <xdr:rowOff>147485</xdr:rowOff>
    </xdr:to>
    <xdr:graphicFrame macro="">
      <xdr:nvGraphicFramePr>
        <xdr:cNvPr id="6" name="Chart 5">
          <a:extLst>
            <a:ext uri="{FF2B5EF4-FFF2-40B4-BE49-F238E27FC236}">
              <a16:creationId xmlns:a16="http://schemas.microsoft.com/office/drawing/2014/main" id="{35E871ED-35A6-4E53-B7C5-688A0D92A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269740</xdr:colOff>
      <xdr:row>9</xdr:row>
      <xdr:rowOff>116703</xdr:rowOff>
    </xdr:from>
    <xdr:to>
      <xdr:col>9</xdr:col>
      <xdr:colOff>410860</xdr:colOff>
      <xdr:row>25</xdr:row>
      <xdr:rowOff>138022</xdr:rowOff>
    </xdr:to>
    <xdr:graphicFrame macro="">
      <xdr:nvGraphicFramePr>
        <xdr:cNvPr id="7" name="Chart 6">
          <a:extLst>
            <a:ext uri="{FF2B5EF4-FFF2-40B4-BE49-F238E27FC236}">
              <a16:creationId xmlns:a16="http://schemas.microsoft.com/office/drawing/2014/main" id="{9291E7A4-F196-4355-AC29-1C5FA2AA2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592731</xdr:colOff>
      <xdr:row>9</xdr:row>
      <xdr:rowOff>127597</xdr:rowOff>
    </xdr:from>
    <xdr:to>
      <xdr:col>24</xdr:col>
      <xdr:colOff>163871</xdr:colOff>
      <xdr:row>25</xdr:row>
      <xdr:rowOff>155678</xdr:rowOff>
    </xdr:to>
    <xdr:graphicFrame macro="">
      <xdr:nvGraphicFramePr>
        <xdr:cNvPr id="8" name="Chart 7">
          <a:extLst>
            <a:ext uri="{FF2B5EF4-FFF2-40B4-BE49-F238E27FC236}">
              <a16:creationId xmlns:a16="http://schemas.microsoft.com/office/drawing/2014/main" id="{A17BE6D5-1CD7-4369-8E61-96A65CEAE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113558</xdr:colOff>
      <xdr:row>0</xdr:row>
      <xdr:rowOff>108646</xdr:rowOff>
    </xdr:from>
    <xdr:to>
      <xdr:col>3</xdr:col>
      <xdr:colOff>1311796</xdr:colOff>
      <xdr:row>6</xdr:row>
      <xdr:rowOff>166520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17E059F8-272C-4091-87C6-8EF640AD25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558" y="108646"/>
              <a:ext cx="3201209" cy="1298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107591</xdr:colOff>
      <xdr:row>7</xdr:row>
      <xdr:rowOff>101249</xdr:rowOff>
    </xdr:from>
    <xdr:to>
      <xdr:col>3</xdr:col>
      <xdr:colOff>1302152</xdr:colOff>
      <xdr:row>14</xdr:row>
      <xdr:rowOff>108647</xdr:rowOff>
    </xdr:to>
    <mc:AlternateContent xmlns:mc="http://schemas.openxmlformats.org/markup-compatibility/2006" xmlns:a14="http://schemas.microsoft.com/office/drawing/2010/main">
      <mc:Choice Requires="a14">
        <xdr:graphicFrame macro="">
          <xdr:nvGraphicFramePr>
            <xdr:cNvPr id="14" name="Channel">
              <a:extLst>
                <a:ext uri="{FF2B5EF4-FFF2-40B4-BE49-F238E27FC236}">
                  <a16:creationId xmlns:a16="http://schemas.microsoft.com/office/drawing/2014/main" id="{90C71423-68A6-45A4-BCFB-AA8CCDC32007}"/>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07591" y="1527278"/>
              <a:ext cx="3197532" cy="1302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131158</xdr:colOff>
      <xdr:row>15</xdr:row>
      <xdr:rowOff>66723</xdr:rowOff>
    </xdr:from>
    <xdr:to>
      <xdr:col>3</xdr:col>
      <xdr:colOff>1302152</xdr:colOff>
      <xdr:row>22</xdr:row>
      <xdr:rowOff>149477</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1242AEB4-6DC5-4FCC-AD54-FE1940093AF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1158" y="2973209"/>
              <a:ext cx="3173965" cy="1378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277171</xdr:colOff>
      <xdr:row>3</xdr:row>
      <xdr:rowOff>38556</xdr:rowOff>
    </xdr:from>
    <xdr:to>
      <xdr:col>9</xdr:col>
      <xdr:colOff>2746</xdr:colOff>
      <xdr:row>7</xdr:row>
      <xdr:rowOff>169350</xdr:rowOff>
    </xdr:to>
    <xdr:sp macro="" textlink="Analysis!B60">
      <xdr:nvSpPr>
        <xdr:cNvPr id="2" name="Rectangle: Rounded Corners 1">
          <a:extLst>
            <a:ext uri="{FF2B5EF4-FFF2-40B4-BE49-F238E27FC236}">
              <a16:creationId xmlns:a16="http://schemas.microsoft.com/office/drawing/2014/main" id="{7BC87E0C-D5C8-6042-2241-609F54CF0167}"/>
            </a:ext>
          </a:extLst>
        </xdr:cNvPr>
        <xdr:cNvSpPr/>
      </xdr:nvSpPr>
      <xdr:spPr>
        <a:xfrm>
          <a:off x="3721829" y="727488"/>
          <a:ext cx="3264177" cy="882355"/>
        </a:xfrm>
        <a:prstGeom prst="roundRect">
          <a:avLst/>
        </a:prstGeom>
        <a:gradFill>
          <a:gsLst>
            <a:gs pos="0">
              <a:schemeClr val="accent1">
                <a:lumMod val="60000"/>
                <a:lumOff val="40000"/>
              </a:schemeClr>
            </a:gs>
            <a:gs pos="100000">
              <a:srgbClr val="6792C5"/>
            </a:gs>
          </a:gsLst>
          <a:lin ang="5400000" scaled="1"/>
        </a:gradFill>
        <a:ln>
          <a:noFill/>
        </a:ln>
        <a:effectLst>
          <a:outerShdw blurRad="50800" dist="38100" dir="2700000" sx="101000" sy="101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EDCC488C-B14D-4997-85E5-16A23C3580D3}" type="TxLink">
            <a:rPr lang="en-US" sz="2400" b="0" i="0" u="none" strike="noStrike">
              <a:solidFill>
                <a:schemeClr val="bg1"/>
              </a:solidFill>
              <a:latin typeface="Segoe UI Black" panose="020B0A02040204020203" pitchFamily="34" charset="0"/>
              <a:ea typeface="Segoe UI Black" panose="020B0A02040204020203" pitchFamily="34" charset="0"/>
              <a:cs typeface="Segoe UI Semibold"/>
            </a:rPr>
            <a:pPr marL="0" indent="0" algn="ctr"/>
            <a:t>$1,255,435</a:t>
          </a:fld>
          <a:endParaRPr lang="en-US" sz="2400" b="0" i="0" u="none" strike="noStrike">
            <a:solidFill>
              <a:schemeClr val="bg1"/>
            </a:solidFill>
            <a:latin typeface="Segoe UI Black" panose="020B0A02040204020203" pitchFamily="34" charset="0"/>
            <a:ea typeface="Segoe UI Black" panose="020B0A02040204020203" pitchFamily="34" charset="0"/>
            <a:cs typeface="Segoe UI Semibold"/>
          </a:endParaRPr>
        </a:p>
      </xdr:txBody>
    </xdr:sp>
    <xdr:clientData/>
  </xdr:twoCellAnchor>
  <xdr:twoCellAnchor>
    <xdr:from>
      <xdr:col>6</xdr:col>
      <xdr:colOff>384731</xdr:colOff>
      <xdr:row>3</xdr:row>
      <xdr:rowOff>135792</xdr:rowOff>
    </xdr:from>
    <xdr:to>
      <xdr:col>7</xdr:col>
      <xdr:colOff>490456</xdr:colOff>
      <xdr:row>5</xdr:row>
      <xdr:rowOff>49531</xdr:rowOff>
    </xdr:to>
    <xdr:sp macro="" textlink="">
      <xdr:nvSpPr>
        <xdr:cNvPr id="11" name="TextBox 10">
          <a:extLst>
            <a:ext uri="{FF2B5EF4-FFF2-40B4-BE49-F238E27FC236}">
              <a16:creationId xmlns:a16="http://schemas.microsoft.com/office/drawing/2014/main" id="{89EF4D91-6A8A-13F6-4F69-ACD8B66EEFA8}"/>
            </a:ext>
          </a:extLst>
        </xdr:cNvPr>
        <xdr:cNvSpPr txBox="1"/>
      </xdr:nvSpPr>
      <xdr:spPr>
        <a:xfrm>
          <a:off x="5111714" y="807385"/>
          <a:ext cx="1126030" cy="275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US" sz="1200">
              <a:ln>
                <a:noFill/>
              </a:ln>
              <a:solidFill>
                <a:schemeClr val="bg1"/>
              </a:solidFill>
              <a:latin typeface="Victory Striker Sans Demo" pitchFamily="50" charset="0"/>
            </a:rPr>
            <a:t>R E V E N U E</a:t>
          </a:r>
        </a:p>
      </xdr:txBody>
    </xdr:sp>
    <xdr:clientData/>
  </xdr:twoCellAnchor>
  <xdr:twoCellAnchor>
    <xdr:from>
      <xdr:col>20</xdr:col>
      <xdr:colOff>177452</xdr:colOff>
      <xdr:row>3</xdr:row>
      <xdr:rowOff>36182</xdr:rowOff>
    </xdr:from>
    <xdr:to>
      <xdr:col>24</xdr:col>
      <xdr:colOff>134470</xdr:colOff>
      <xdr:row>7</xdr:row>
      <xdr:rowOff>150845</xdr:rowOff>
    </xdr:to>
    <xdr:sp macro="" textlink="Analysis!E60">
      <xdr:nvSpPr>
        <xdr:cNvPr id="12" name="Rectangle: Rounded Corners 11">
          <a:extLst>
            <a:ext uri="{FF2B5EF4-FFF2-40B4-BE49-F238E27FC236}">
              <a16:creationId xmlns:a16="http://schemas.microsoft.com/office/drawing/2014/main" id="{C8B9F3A6-8FB9-5E91-F07A-93614F305132}"/>
            </a:ext>
          </a:extLst>
        </xdr:cNvPr>
        <xdr:cNvSpPr/>
      </xdr:nvSpPr>
      <xdr:spPr>
        <a:xfrm>
          <a:off x="13820384" y="725114"/>
          <a:ext cx="2858881" cy="866224"/>
        </a:xfrm>
        <a:prstGeom prst="roundRect">
          <a:avLst/>
        </a:prstGeom>
        <a:gradFill>
          <a:gsLst>
            <a:gs pos="0">
              <a:schemeClr val="accent1">
                <a:lumMod val="60000"/>
                <a:lumOff val="40000"/>
              </a:schemeClr>
            </a:gs>
            <a:gs pos="100000">
              <a:srgbClr val="6792C5"/>
            </a:gs>
          </a:gsLst>
          <a:lin ang="5400000" scaled="1"/>
        </a:gradFill>
        <a:ln>
          <a:noFill/>
        </a:ln>
        <a:effectLst>
          <a:outerShdw blurRad="50800" dist="38100" dir="2700000" sx="101000" sy="101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349BF24-065C-4B8C-8A35-B07ACDE35172}" type="TxLink">
            <a:rPr lang="en-US" sz="2400" b="0" i="0" u="none" strike="noStrike">
              <a:solidFill>
                <a:schemeClr val="bg1"/>
              </a:solidFill>
              <a:latin typeface="Segoe UI Black" panose="020B0A02040204020203" pitchFamily="34" charset="0"/>
              <a:ea typeface="Segoe UI Black" panose="020B0A02040204020203" pitchFamily="34" charset="0"/>
              <a:cs typeface="Segoe UI Semibold"/>
            </a:rPr>
            <a:pPr marL="0" indent="0" algn="ctr"/>
            <a:t>3043</a:t>
          </a:fld>
          <a:endParaRPr lang="en-US" sz="2400" b="0" i="0" u="none" strike="noStrike">
            <a:solidFill>
              <a:schemeClr val="bg1"/>
            </a:solidFill>
            <a:latin typeface="Segoe UI Black" panose="020B0A02040204020203" pitchFamily="34" charset="0"/>
            <a:ea typeface="Segoe UI Black" panose="020B0A02040204020203" pitchFamily="34" charset="0"/>
            <a:cs typeface="Segoe UI Semibold"/>
          </a:endParaRPr>
        </a:p>
      </xdr:txBody>
    </xdr:sp>
    <xdr:clientData/>
  </xdr:twoCellAnchor>
  <xdr:twoCellAnchor>
    <xdr:from>
      <xdr:col>15</xdr:col>
      <xdr:colOff>40469</xdr:colOff>
      <xdr:row>3</xdr:row>
      <xdr:rowOff>46621</xdr:rowOff>
    </xdr:from>
    <xdr:to>
      <xdr:col>19</xdr:col>
      <xdr:colOff>378914</xdr:colOff>
      <xdr:row>7</xdr:row>
      <xdr:rowOff>161284</xdr:rowOff>
    </xdr:to>
    <xdr:sp macro="" textlink="Analysis!D60">
      <xdr:nvSpPr>
        <xdr:cNvPr id="16" name="Rectangle: Rounded Corners 15">
          <a:extLst>
            <a:ext uri="{FF2B5EF4-FFF2-40B4-BE49-F238E27FC236}">
              <a16:creationId xmlns:a16="http://schemas.microsoft.com/office/drawing/2014/main" id="{A6BADE6C-0FB2-DFBF-4F28-DD6C929B4362}"/>
            </a:ext>
          </a:extLst>
        </xdr:cNvPr>
        <xdr:cNvSpPr/>
      </xdr:nvSpPr>
      <xdr:spPr>
        <a:xfrm>
          <a:off x="10656277" y="735553"/>
          <a:ext cx="2760144" cy="866224"/>
        </a:xfrm>
        <a:prstGeom prst="roundRect">
          <a:avLst/>
        </a:prstGeom>
        <a:gradFill>
          <a:gsLst>
            <a:gs pos="0">
              <a:schemeClr val="accent1">
                <a:lumMod val="60000"/>
                <a:lumOff val="40000"/>
              </a:schemeClr>
            </a:gs>
            <a:gs pos="100000">
              <a:srgbClr val="6792C5"/>
            </a:gs>
          </a:gsLst>
          <a:lin ang="5400000" scaled="1"/>
        </a:gradFill>
        <a:ln>
          <a:noFill/>
        </a:ln>
        <a:effectLst>
          <a:outerShdw blurRad="50800" dist="38100" dir="2700000" sx="101000" sy="101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0D1CC22D-A3DA-4718-8836-FB596D94D8A2}" type="TxLink">
            <a:rPr lang="en-US" sz="2400" b="0" i="0" u="none" strike="noStrike">
              <a:solidFill>
                <a:schemeClr val="bg1"/>
              </a:solidFill>
              <a:latin typeface="Segoe UI Black" panose="020B0A02040204020203" pitchFamily="34" charset="0"/>
              <a:ea typeface="Segoe UI Black" panose="020B0A02040204020203" pitchFamily="34" charset="0"/>
              <a:cs typeface="Segoe UI Semibold"/>
            </a:rPr>
            <a:pPr marL="0" indent="0" algn="ctr"/>
            <a:t>38%</a:t>
          </a:fld>
          <a:endParaRPr lang="en-US" sz="2400" b="0" i="0" u="none" strike="noStrike">
            <a:solidFill>
              <a:schemeClr val="bg1"/>
            </a:solidFill>
            <a:latin typeface="Segoe UI Black" panose="020B0A02040204020203" pitchFamily="34" charset="0"/>
            <a:ea typeface="Segoe UI Black" panose="020B0A02040204020203" pitchFamily="34" charset="0"/>
            <a:cs typeface="Segoe UI Semibold"/>
          </a:endParaRPr>
        </a:p>
      </xdr:txBody>
    </xdr:sp>
    <xdr:clientData/>
  </xdr:twoCellAnchor>
  <xdr:twoCellAnchor>
    <xdr:from>
      <xdr:col>9</xdr:col>
      <xdr:colOff>406709</xdr:colOff>
      <xdr:row>3</xdr:row>
      <xdr:rowOff>44408</xdr:rowOff>
    </xdr:from>
    <xdr:to>
      <xdr:col>14</xdr:col>
      <xdr:colOff>241930</xdr:colOff>
      <xdr:row>7</xdr:row>
      <xdr:rowOff>163497</xdr:rowOff>
    </xdr:to>
    <xdr:sp macro="" textlink="Analysis!C60">
      <xdr:nvSpPr>
        <xdr:cNvPr id="17" name="Rectangle: Rounded Corners 16">
          <a:extLst>
            <a:ext uri="{FF2B5EF4-FFF2-40B4-BE49-F238E27FC236}">
              <a16:creationId xmlns:a16="http://schemas.microsoft.com/office/drawing/2014/main" id="{B859158C-C589-8112-38BD-65ED50121C4E}"/>
            </a:ext>
          </a:extLst>
        </xdr:cNvPr>
        <xdr:cNvSpPr/>
      </xdr:nvSpPr>
      <xdr:spPr>
        <a:xfrm>
          <a:off x="7389969" y="733340"/>
          <a:ext cx="2862345" cy="870650"/>
        </a:xfrm>
        <a:prstGeom prst="roundRect">
          <a:avLst/>
        </a:prstGeom>
        <a:gradFill>
          <a:gsLst>
            <a:gs pos="0">
              <a:schemeClr val="accent1">
                <a:lumMod val="60000"/>
                <a:lumOff val="40000"/>
              </a:schemeClr>
            </a:gs>
            <a:gs pos="100000">
              <a:srgbClr val="6792C5"/>
            </a:gs>
          </a:gsLst>
          <a:lin ang="5400000" scaled="1"/>
        </a:gradFill>
        <a:ln>
          <a:noFill/>
        </a:ln>
        <a:effectLst>
          <a:outerShdw blurRad="50800" dist="38100" dir="2700000" sx="101000" sy="101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3CB9033F-ED22-44AE-9E64-4429EC9B14F9}" type="TxLink">
            <a:rPr lang="en-US" sz="2400" b="0" i="0" u="none" strike="noStrike">
              <a:solidFill>
                <a:schemeClr val="bg1"/>
              </a:solidFill>
              <a:latin typeface="Segoe UI Black" panose="020B0A02040204020203" pitchFamily="34" charset="0"/>
              <a:ea typeface="Segoe UI Black" panose="020B0A02040204020203" pitchFamily="34" charset="0"/>
              <a:cs typeface="Segoe UI Semibold"/>
            </a:rPr>
            <a:pPr marL="0" indent="0" algn="ctr"/>
            <a:t>$472,668</a:t>
          </a:fld>
          <a:endParaRPr lang="en-US" sz="2400" b="0" i="0" u="none" strike="noStrike">
            <a:solidFill>
              <a:schemeClr val="bg1"/>
            </a:solidFill>
            <a:latin typeface="Segoe UI Black" panose="020B0A02040204020203" pitchFamily="34" charset="0"/>
            <a:ea typeface="Segoe UI Black" panose="020B0A02040204020203" pitchFamily="34" charset="0"/>
            <a:cs typeface="Segoe UI Semibold"/>
          </a:endParaRPr>
        </a:p>
      </xdr:txBody>
    </xdr:sp>
    <xdr:clientData/>
  </xdr:twoCellAnchor>
  <xdr:twoCellAnchor>
    <xdr:from>
      <xdr:col>11</xdr:col>
      <xdr:colOff>344011</xdr:colOff>
      <xdr:row>3</xdr:row>
      <xdr:rowOff>129527</xdr:rowOff>
    </xdr:from>
    <xdr:to>
      <xdr:col>13</xdr:col>
      <xdr:colOff>114782</xdr:colOff>
      <xdr:row>5</xdr:row>
      <xdr:rowOff>31665</xdr:rowOff>
    </xdr:to>
    <xdr:sp macro="" textlink="">
      <xdr:nvSpPr>
        <xdr:cNvPr id="18" name="TextBox 17">
          <a:extLst>
            <a:ext uri="{FF2B5EF4-FFF2-40B4-BE49-F238E27FC236}">
              <a16:creationId xmlns:a16="http://schemas.microsoft.com/office/drawing/2014/main" id="{4606EF34-B340-6724-B69B-9DB36E5C27E5}"/>
            </a:ext>
          </a:extLst>
        </xdr:cNvPr>
        <xdr:cNvSpPr txBox="1"/>
      </xdr:nvSpPr>
      <xdr:spPr>
        <a:xfrm>
          <a:off x="8514547" y="807671"/>
          <a:ext cx="973929" cy="266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US" sz="1200">
              <a:ln>
                <a:noFill/>
              </a:ln>
              <a:solidFill>
                <a:schemeClr val="bg1"/>
              </a:solidFill>
              <a:latin typeface="Victory Striker Sans Demo" pitchFamily="50" charset="0"/>
            </a:rPr>
            <a:t>P</a:t>
          </a:r>
          <a:r>
            <a:rPr lang="en-US" sz="1200" baseline="0">
              <a:ln>
                <a:noFill/>
              </a:ln>
              <a:solidFill>
                <a:schemeClr val="bg1"/>
              </a:solidFill>
              <a:latin typeface="Victory Striker Sans Demo" pitchFamily="50" charset="0"/>
            </a:rPr>
            <a:t> R O F I T</a:t>
          </a:r>
          <a:endParaRPr lang="en-US" sz="1200">
            <a:ln>
              <a:noFill/>
            </a:ln>
            <a:solidFill>
              <a:schemeClr val="bg1"/>
            </a:solidFill>
            <a:latin typeface="Victory Striker Sans Demo" pitchFamily="50" charset="0"/>
          </a:endParaRPr>
        </a:p>
      </xdr:txBody>
    </xdr:sp>
    <xdr:clientData/>
  </xdr:twoCellAnchor>
  <xdr:twoCellAnchor>
    <xdr:from>
      <xdr:col>16</xdr:col>
      <xdr:colOff>390924</xdr:colOff>
      <xdr:row>3</xdr:row>
      <xdr:rowOff>173101</xdr:rowOff>
    </xdr:from>
    <xdr:to>
      <xdr:col>18</xdr:col>
      <xdr:colOff>524374</xdr:colOff>
      <xdr:row>5</xdr:row>
      <xdr:rowOff>39427</xdr:rowOff>
    </xdr:to>
    <xdr:sp macro="" textlink="">
      <xdr:nvSpPr>
        <xdr:cNvPr id="19" name="TextBox 18">
          <a:extLst>
            <a:ext uri="{FF2B5EF4-FFF2-40B4-BE49-F238E27FC236}">
              <a16:creationId xmlns:a16="http://schemas.microsoft.com/office/drawing/2014/main" id="{C0A01BDF-14FE-985C-A9E9-ADB078F33FFA}"/>
            </a:ext>
          </a:extLst>
        </xdr:cNvPr>
        <xdr:cNvSpPr txBox="1"/>
      </xdr:nvSpPr>
      <xdr:spPr>
        <a:xfrm>
          <a:off x="11569355" y="851245"/>
          <a:ext cx="1336608" cy="230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US" sz="1000">
              <a:ln>
                <a:noFill/>
              </a:ln>
              <a:solidFill>
                <a:schemeClr val="bg1"/>
              </a:solidFill>
              <a:latin typeface="Victory Striker Sans Demo" pitchFamily="50" charset="0"/>
            </a:rPr>
            <a:t>P</a:t>
          </a:r>
          <a:r>
            <a:rPr lang="en-US" sz="1000" baseline="0">
              <a:ln>
                <a:noFill/>
              </a:ln>
              <a:solidFill>
                <a:schemeClr val="bg1"/>
              </a:solidFill>
              <a:latin typeface="Victory Striker Sans Demo" pitchFamily="50" charset="0"/>
            </a:rPr>
            <a:t> R O F I T  m a R G I N</a:t>
          </a:r>
          <a:endParaRPr lang="en-US" sz="1000">
            <a:ln>
              <a:noFill/>
            </a:ln>
            <a:solidFill>
              <a:schemeClr val="bg1"/>
            </a:solidFill>
            <a:latin typeface="Victory Striker Sans Demo" pitchFamily="50" charset="0"/>
          </a:endParaRPr>
        </a:p>
      </xdr:txBody>
    </xdr:sp>
    <xdr:clientData/>
  </xdr:twoCellAnchor>
  <xdr:twoCellAnchor>
    <xdr:from>
      <xdr:col>22</xdr:col>
      <xdr:colOff>125063</xdr:colOff>
      <xdr:row>3</xdr:row>
      <xdr:rowOff>107044</xdr:rowOff>
    </xdr:from>
    <xdr:to>
      <xdr:col>23</xdr:col>
      <xdr:colOff>492662</xdr:colOff>
      <xdr:row>4</xdr:row>
      <xdr:rowOff>176240</xdr:rowOff>
    </xdr:to>
    <xdr:sp macro="" textlink="">
      <xdr:nvSpPr>
        <xdr:cNvPr id="20" name="TextBox 19">
          <a:extLst>
            <a:ext uri="{FF2B5EF4-FFF2-40B4-BE49-F238E27FC236}">
              <a16:creationId xmlns:a16="http://schemas.microsoft.com/office/drawing/2014/main" id="{7C1158E0-9F39-89A9-4317-35DD71547D3D}"/>
            </a:ext>
          </a:extLst>
        </xdr:cNvPr>
        <xdr:cNvSpPr txBox="1"/>
      </xdr:nvSpPr>
      <xdr:spPr>
        <a:xfrm>
          <a:off x="14912967" y="785188"/>
          <a:ext cx="969178" cy="251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US" sz="1200">
              <a:ln>
                <a:noFill/>
              </a:ln>
              <a:solidFill>
                <a:schemeClr val="bg1"/>
              </a:solidFill>
              <a:latin typeface="Victory Striker Sans Demo" pitchFamily="50" charset="0"/>
            </a:rPr>
            <a:t>O</a:t>
          </a:r>
          <a:r>
            <a:rPr lang="en-US" sz="1200" baseline="0">
              <a:ln>
                <a:noFill/>
              </a:ln>
              <a:solidFill>
                <a:schemeClr val="bg1"/>
              </a:solidFill>
              <a:latin typeface="Victory Striker Sans Demo" pitchFamily="50" charset="0"/>
            </a:rPr>
            <a:t> R D E R S</a:t>
          </a:r>
          <a:endParaRPr lang="en-US" sz="1200">
            <a:ln>
              <a:noFill/>
            </a:ln>
            <a:solidFill>
              <a:schemeClr val="bg1"/>
            </a:solidFill>
            <a:latin typeface="Victory Striker Sans Demo" pitchFamily="50" charset="0"/>
          </a:endParaRPr>
        </a:p>
      </xdr:txBody>
    </xdr:sp>
    <xdr:clientData/>
  </xdr:twoCellAnchor>
  <xdr:twoCellAnchor editAs="oneCell">
    <xdr:from>
      <xdr:col>5</xdr:col>
      <xdr:colOff>675727</xdr:colOff>
      <xdr:row>3</xdr:row>
      <xdr:rowOff>53724</xdr:rowOff>
    </xdr:from>
    <xdr:to>
      <xdr:col>6</xdr:col>
      <xdr:colOff>388114</xdr:colOff>
      <xdr:row>5</xdr:row>
      <xdr:rowOff>104676</xdr:rowOff>
    </xdr:to>
    <xdr:pic>
      <xdr:nvPicPr>
        <xdr:cNvPr id="22" name="Graphic 21" descr="Money with solid fill">
          <a:extLst>
            <a:ext uri="{FF2B5EF4-FFF2-40B4-BE49-F238E27FC236}">
              <a16:creationId xmlns:a16="http://schemas.microsoft.com/office/drawing/2014/main" id="{8D9CC56D-2894-B06E-103F-24459EEBE28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707503" y="730425"/>
          <a:ext cx="428895" cy="414893"/>
        </a:xfrm>
        <a:prstGeom prst="rect">
          <a:avLst/>
        </a:prstGeom>
      </xdr:spPr>
    </xdr:pic>
    <xdr:clientData/>
  </xdr:twoCellAnchor>
  <xdr:twoCellAnchor editAs="oneCell">
    <xdr:from>
      <xdr:col>11</xdr:col>
      <xdr:colOff>74076</xdr:colOff>
      <xdr:row>3</xdr:row>
      <xdr:rowOff>109721</xdr:rowOff>
    </xdr:from>
    <xdr:to>
      <xdr:col>11</xdr:col>
      <xdr:colOff>421512</xdr:colOff>
      <xdr:row>5</xdr:row>
      <xdr:rowOff>77270</xdr:rowOff>
    </xdr:to>
    <xdr:pic>
      <xdr:nvPicPr>
        <xdr:cNvPr id="27" name="Graphic 26" descr="Dollar with solid fill">
          <a:extLst>
            <a:ext uri="{FF2B5EF4-FFF2-40B4-BE49-F238E27FC236}">
              <a16:creationId xmlns:a16="http://schemas.microsoft.com/office/drawing/2014/main" id="{D38D3DFD-87D2-F58E-C3E4-A05135F1AF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244612" y="787865"/>
          <a:ext cx="347436" cy="332142"/>
        </a:xfrm>
        <a:prstGeom prst="rect">
          <a:avLst/>
        </a:prstGeom>
      </xdr:spPr>
    </xdr:pic>
    <xdr:clientData/>
  </xdr:twoCellAnchor>
  <xdr:twoCellAnchor editAs="oneCell">
    <xdr:from>
      <xdr:col>21</xdr:col>
      <xdr:colOff>423999</xdr:colOff>
      <xdr:row>3</xdr:row>
      <xdr:rowOff>82790</xdr:rowOff>
    </xdr:from>
    <xdr:to>
      <xdr:col>22</xdr:col>
      <xdr:colOff>187319</xdr:colOff>
      <xdr:row>5</xdr:row>
      <xdr:rowOff>73109</xdr:rowOff>
    </xdr:to>
    <xdr:pic>
      <xdr:nvPicPr>
        <xdr:cNvPr id="31" name="Graphic 30" descr="Shopping cart with solid fill">
          <a:extLst>
            <a:ext uri="{FF2B5EF4-FFF2-40B4-BE49-F238E27FC236}">
              <a16:creationId xmlns:a16="http://schemas.microsoft.com/office/drawing/2014/main" id="{872B2FB7-6D42-3412-C814-97F353ED97F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610324" y="760934"/>
          <a:ext cx="364899" cy="354912"/>
        </a:xfrm>
        <a:prstGeom prst="rect">
          <a:avLst/>
        </a:prstGeom>
      </xdr:spPr>
    </xdr:pic>
    <xdr:clientData/>
  </xdr:twoCellAnchor>
  <xdr:twoCellAnchor editAs="oneCell">
    <xdr:from>
      <xdr:col>16</xdr:col>
      <xdr:colOff>48979</xdr:colOff>
      <xdr:row>3</xdr:row>
      <xdr:rowOff>122670</xdr:rowOff>
    </xdr:from>
    <xdr:to>
      <xdr:col>16</xdr:col>
      <xdr:colOff>422879</xdr:colOff>
      <xdr:row>5</xdr:row>
      <xdr:rowOff>127403</xdr:rowOff>
    </xdr:to>
    <xdr:pic>
      <xdr:nvPicPr>
        <xdr:cNvPr id="9" name="Graphic 8" descr="Coins with solid fill">
          <a:extLst>
            <a:ext uri="{FF2B5EF4-FFF2-40B4-BE49-F238E27FC236}">
              <a16:creationId xmlns:a16="http://schemas.microsoft.com/office/drawing/2014/main" id="{832EA507-64D3-9965-2C7F-BBD8A88A131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227410" y="800814"/>
          <a:ext cx="373900" cy="36932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alan" refreshedDate="46244.887374652775" createdVersion="8" refreshedVersion="8" minRefreshableVersion="3" recordCount="500" xr:uid="{396A228A-F633-493F-9D1B-C2896E3CAD2A}">
  <cacheSource type="worksheet">
    <worksheetSource name="Table2"/>
  </cacheSource>
  <cacheFields count="18">
    <cacheField name="Order ID" numFmtId="0">
      <sharedItems/>
    </cacheField>
    <cacheField name="Date" numFmtId="0">
      <sharedItems containsSemiMixedTypes="0" containsNonDate="0" containsDate="1" containsString="0" minDate="2025-01-01T00:00:00" maxDate="2026-01-01T00:00:00" count="261">
        <d v="2025-12-15T00:00:00"/>
        <d v="2025-03-10T00:00:00"/>
        <d v="2025-11-22T00:00:00"/>
        <d v="2025-07-21T00:00:00"/>
        <d v="2025-09-15T00:00:00"/>
        <d v="2025-06-01T00:00:00"/>
        <d v="2025-01-20T00:00:00"/>
        <d v="2025-05-11T00:00:00"/>
        <d v="2025-01-13T00:00:00"/>
        <d v="2025-11-12T00:00:00"/>
        <d v="2025-02-09T00:00:00"/>
        <d v="2025-05-16T00:00:00"/>
        <d v="2025-11-17T00:00:00"/>
        <d v="2025-04-21T00:00:00"/>
        <d v="2025-11-29T00:00:00"/>
        <d v="2025-03-18T00:00:00"/>
        <d v="2025-11-04T00:00:00"/>
        <d v="2025-10-27T00:00:00"/>
        <d v="2025-06-11T00:00:00"/>
        <d v="2025-08-19T00:00:00"/>
        <d v="2025-06-03T00:00:00"/>
        <d v="2025-09-24T00:00:00"/>
        <d v="2025-11-07T00:00:00"/>
        <d v="2025-02-14T00:00:00"/>
        <d v="2025-01-12T00:00:00"/>
        <d v="2025-08-12T00:00:00"/>
        <d v="2025-07-31T00:00:00"/>
        <d v="2025-12-14T00:00:00"/>
        <d v="2025-05-03T00:00:00"/>
        <d v="2025-07-04T00:00:00"/>
        <d v="2025-11-23T00:00:00"/>
        <d v="2025-03-15T00:00:00"/>
        <d v="2025-01-16T00:00:00"/>
        <d v="2025-11-19T00:00:00"/>
        <d v="2025-12-09T00:00:00"/>
        <d v="2025-03-23T00:00:00"/>
        <d v="2025-08-07T00:00:00"/>
        <d v="2025-06-28T00:00:00"/>
        <d v="2025-06-10T00:00:00"/>
        <d v="2025-03-21T00:00:00"/>
        <d v="2025-06-14T00:00:00"/>
        <d v="2025-05-28T00:00:00"/>
        <d v="2025-10-18T00:00:00"/>
        <d v="2025-04-15T00:00:00"/>
        <d v="2025-01-05T00:00:00"/>
        <d v="2025-02-19T00:00:00"/>
        <d v="2025-01-01T00:00:00"/>
        <d v="2025-06-23T00:00:00"/>
        <d v="2025-03-13T00:00:00"/>
        <d v="2025-10-12T00:00:00"/>
        <d v="2025-01-29T00:00:00"/>
        <d v="2025-01-22T00:00:00"/>
        <d v="2025-08-15T00:00:00"/>
        <d v="2025-03-19T00:00:00"/>
        <d v="2025-07-27T00:00:00"/>
        <d v="2025-07-26T00:00:00"/>
        <d v="2025-06-05T00:00:00"/>
        <d v="2025-11-28T00:00:00"/>
        <d v="2025-03-04T00:00:00"/>
        <d v="2025-04-07T00:00:00"/>
        <d v="2025-11-01T00:00:00"/>
        <d v="2025-02-11T00:00:00"/>
        <d v="2025-12-20T00:00:00"/>
        <d v="2025-06-30T00:00:00"/>
        <d v="2025-11-26T00:00:00"/>
        <d v="2025-04-30T00:00:00"/>
        <d v="2025-01-17T00:00:00"/>
        <d v="2025-07-12T00:00:00"/>
        <d v="2025-03-27T00:00:00"/>
        <d v="2025-07-14T00:00:00"/>
        <d v="2025-09-09T00:00:00"/>
        <d v="2025-01-21T00:00:00"/>
        <d v="2025-10-11T00:00:00"/>
        <d v="2025-05-02T00:00:00"/>
        <d v="2025-05-23T00:00:00"/>
        <d v="2025-12-07T00:00:00"/>
        <d v="2025-06-27T00:00:00"/>
        <d v="2025-10-02T00:00:00"/>
        <d v="2025-09-29T00:00:00"/>
        <d v="2025-08-30T00:00:00"/>
        <d v="2025-01-31T00:00:00"/>
        <d v="2025-12-27T00:00:00"/>
        <d v="2025-02-01T00:00:00"/>
        <d v="2025-08-27T00:00:00"/>
        <d v="2025-09-04T00:00:00"/>
        <d v="2025-01-15T00:00:00"/>
        <d v="2025-06-08T00:00:00"/>
        <d v="2025-04-17T00:00:00"/>
        <d v="2025-10-22T00:00:00"/>
        <d v="2025-06-13T00:00:00"/>
        <d v="2025-01-08T00:00:00"/>
        <d v="2025-08-06T00:00:00"/>
        <d v="2025-03-16T00:00:00"/>
        <d v="2025-09-07T00:00:00"/>
        <d v="2025-01-04T00:00:00"/>
        <d v="2025-11-18T00:00:00"/>
        <d v="2025-07-20T00:00:00"/>
        <d v="2025-01-25T00:00:00"/>
        <d v="2025-10-04T00:00:00"/>
        <d v="2025-09-27T00:00:00"/>
        <d v="2025-10-31T00:00:00"/>
        <d v="2025-06-17T00:00:00"/>
        <d v="2025-12-31T00:00:00"/>
        <d v="2025-06-12T00:00:00"/>
        <d v="2025-04-02T00:00:00"/>
        <d v="2025-08-14T00:00:00"/>
        <d v="2025-01-30T00:00:00"/>
        <d v="2025-08-09T00:00:00"/>
        <d v="2025-08-26T00:00:00"/>
        <d v="2025-11-11T00:00:00"/>
        <d v="2025-05-13T00:00:00"/>
        <d v="2025-03-09T00:00:00"/>
        <d v="2025-12-24T00:00:00"/>
        <d v="2025-04-20T00:00:00"/>
        <d v="2025-10-30T00:00:00"/>
        <d v="2025-11-24T00:00:00"/>
        <d v="2025-09-11T00:00:00"/>
        <d v="2025-09-22T00:00:00"/>
        <d v="2025-09-18T00:00:00"/>
        <d v="2025-08-01T00:00:00"/>
        <d v="2025-11-10T00:00:00"/>
        <d v="2025-03-29T00:00:00"/>
        <d v="2025-02-08T00:00:00"/>
        <d v="2025-06-26T00:00:00"/>
        <d v="2025-03-11T00:00:00"/>
        <d v="2025-07-02T00:00:00"/>
        <d v="2025-09-13T00:00:00"/>
        <d v="2025-06-09T00:00:00"/>
        <d v="2025-08-17T00:00:00"/>
        <d v="2025-03-07T00:00:00"/>
        <d v="2025-03-26T00:00:00"/>
        <d v="2025-01-27T00:00:00"/>
        <d v="2025-03-17T00:00:00"/>
        <d v="2025-04-24T00:00:00"/>
        <d v="2025-11-16T00:00:00"/>
        <d v="2025-09-28T00:00:00"/>
        <d v="2025-05-17T00:00:00"/>
        <d v="2025-10-10T00:00:00"/>
        <d v="2025-09-30T00:00:00"/>
        <d v="2025-05-12T00:00:00"/>
        <d v="2025-09-16T00:00:00"/>
        <d v="2025-08-04T00:00:00"/>
        <d v="2025-12-22T00:00:00"/>
        <d v="2025-03-08T00:00:00"/>
        <d v="2025-12-30T00:00:00"/>
        <d v="2025-05-09T00:00:00"/>
        <d v="2025-10-03T00:00:00"/>
        <d v="2025-07-09T00:00:00"/>
        <d v="2025-10-09T00:00:00"/>
        <d v="2025-10-05T00:00:00"/>
        <d v="2025-04-12T00:00:00"/>
        <d v="2025-12-17T00:00:00"/>
        <d v="2025-12-04T00:00:00"/>
        <d v="2025-11-21T00:00:00"/>
        <d v="2025-08-24T00:00:00"/>
        <d v="2025-12-10T00:00:00"/>
        <d v="2025-08-13T00:00:00"/>
        <d v="2025-03-25T00:00:00"/>
        <d v="2025-03-06T00:00:00"/>
        <d v="2025-12-01T00:00:00"/>
        <d v="2025-12-05T00:00:00"/>
        <d v="2025-11-09T00:00:00"/>
        <d v="2025-06-19T00:00:00"/>
        <d v="2025-04-09T00:00:00"/>
        <d v="2025-10-19T00:00:00"/>
        <d v="2025-12-11T00:00:00"/>
        <d v="2025-02-10T00:00:00"/>
        <d v="2025-09-01T00:00:00"/>
        <d v="2025-01-18T00:00:00"/>
        <d v="2025-04-13T00:00:00"/>
        <d v="2025-05-21T00:00:00"/>
        <d v="2025-09-05T00:00:00"/>
        <d v="2025-10-14T00:00:00"/>
        <d v="2025-09-03T00:00:00"/>
        <d v="2025-10-15T00:00:00"/>
        <d v="2025-03-01T00:00:00"/>
        <d v="2025-11-13T00:00:00"/>
        <d v="2025-02-18T00:00:00"/>
        <d v="2025-02-22T00:00:00"/>
        <d v="2025-02-02T00:00:00"/>
        <d v="2025-05-19T00:00:00"/>
        <d v="2025-07-22T00:00:00"/>
        <d v="2025-01-11T00:00:00"/>
        <d v="2025-10-20T00:00:00"/>
        <d v="2025-07-19T00:00:00"/>
        <d v="2025-07-01T00:00:00"/>
        <d v="2025-06-02T00:00:00"/>
        <d v="2025-08-10T00:00:00"/>
        <d v="2025-12-06T00:00:00"/>
        <d v="2025-02-21T00:00:00"/>
        <d v="2025-10-16T00:00:00"/>
        <d v="2025-11-27T00:00:00"/>
        <d v="2025-02-12T00:00:00"/>
        <d v="2025-11-06T00:00:00"/>
        <d v="2025-12-02T00:00:00"/>
        <d v="2025-04-27T00:00:00"/>
        <d v="2025-10-26T00:00:00"/>
        <d v="2025-10-29T00:00:00"/>
        <d v="2025-02-23T00:00:00"/>
        <d v="2025-12-21T00:00:00"/>
        <d v="2025-06-20T00:00:00"/>
        <d v="2025-02-05T00:00:00"/>
        <d v="2025-01-06T00:00:00"/>
        <d v="2025-05-14T00:00:00"/>
        <d v="2025-08-18T00:00:00"/>
        <d v="2025-10-21T00:00:00"/>
        <d v="2025-10-23T00:00:00"/>
        <d v="2025-04-10T00:00:00"/>
        <d v="2025-12-16T00:00:00"/>
        <d v="2025-04-04T00:00:00"/>
        <d v="2025-05-27T00:00:00"/>
        <d v="2025-01-28T00:00:00"/>
        <d v="2025-08-28T00:00:00"/>
        <d v="2025-05-30T00:00:00"/>
        <d v="2025-04-18T00:00:00"/>
        <d v="2025-10-08T00:00:00"/>
        <d v="2025-07-23T00:00:00"/>
        <d v="2025-02-26T00:00:00"/>
        <d v="2025-01-14T00:00:00"/>
        <d v="2025-03-12T00:00:00"/>
        <d v="2025-06-07T00:00:00"/>
        <d v="2025-09-14T00:00:00"/>
        <d v="2025-05-08T00:00:00"/>
        <d v="2025-08-23T00:00:00"/>
        <d v="2025-02-28T00:00:00"/>
        <d v="2025-12-23T00:00:00"/>
        <d v="2025-03-22T00:00:00"/>
        <d v="2025-11-14T00:00:00"/>
        <d v="2025-05-25T00:00:00"/>
        <d v="2025-07-17T00:00:00"/>
        <d v="2025-04-29T00:00:00"/>
        <d v="2025-07-24T00:00:00"/>
        <d v="2025-06-22T00:00:00"/>
        <d v="2025-07-08T00:00:00"/>
        <d v="2025-05-05T00:00:00"/>
        <d v="2025-04-26T00:00:00"/>
        <d v="2025-08-31T00:00:00"/>
        <d v="2025-09-25T00:00:00"/>
        <d v="2025-11-20T00:00:00"/>
        <d v="2025-08-05T00:00:00"/>
        <d v="2025-09-26T00:00:00"/>
        <d v="2025-07-11T00:00:00"/>
        <d v="2025-04-03T00:00:00"/>
        <d v="2025-11-08T00:00:00"/>
        <d v="2025-03-20T00:00:00"/>
        <d v="2025-01-09T00:00:00"/>
        <d v="2025-02-13T00:00:00"/>
        <d v="2025-11-05T00:00:00"/>
        <d v="2025-07-10T00:00:00"/>
        <d v="2025-04-28T00:00:00"/>
        <d v="2025-05-22T00:00:00"/>
        <d v="2025-01-24T00:00:00"/>
        <d v="2025-08-29T00:00:00"/>
        <d v="2025-07-25T00:00:00"/>
        <d v="2025-08-22T00:00:00"/>
        <d v="2025-04-06T00:00:00"/>
        <d v="2025-08-11T00:00:00"/>
        <d v="2025-01-26T00:00:00"/>
        <d v="2025-04-08T00:00:00"/>
        <d v="2025-12-03T00:00:00"/>
        <d v="2025-05-31T00:00:00"/>
      </sharedItems>
      <fieldGroup par="13"/>
    </cacheField>
    <cacheField name="Region" numFmtId="0">
      <sharedItems count="4">
        <s v="South"/>
        <s v="North"/>
        <s v="East"/>
        <s v="West"/>
      </sharedItems>
    </cacheField>
    <cacheField name="Channel" numFmtId="0">
      <sharedItems count="3">
        <s v="Retail"/>
        <s v="Website"/>
        <s v="Marketplace"/>
      </sharedItems>
    </cacheField>
    <cacheField name="Product" numFmtId="0">
      <sharedItems count="8">
        <s v="Office Chair"/>
        <s v="Laptop"/>
        <s v="Headset"/>
        <s v="Desk Lamp"/>
        <s v="Webcam"/>
        <s v="Mouse"/>
        <s v="Keyboard"/>
        <s v="Monitor"/>
      </sharedItems>
    </cacheField>
    <cacheField name="Units" numFmtId="0">
      <sharedItems containsSemiMixedTypes="0" containsString="0" containsNumber="1" containsInteger="1" minValue="1" maxValue="11" count="11">
        <n v="5"/>
        <n v="9"/>
        <n v="8"/>
        <n v="6"/>
        <n v="10"/>
        <n v="2"/>
        <n v="4"/>
        <n v="3"/>
        <n v="7"/>
        <n v="1"/>
        <n v="11"/>
      </sharedItems>
    </cacheField>
    <cacheField name="Unit Price" numFmtId="0">
      <sharedItems containsSemiMixedTypes="0" containsString="0" containsNumber="1" minValue="16.82" maxValue="892.75"/>
    </cacheField>
    <cacheField name="Discount" numFmtId="9">
      <sharedItems containsSemiMixedTypes="0" containsString="0" containsNumber="1" minValue="0" maxValue="0.2"/>
    </cacheField>
    <cacheField name="Revenue" numFmtId="3">
      <sharedItems containsSemiMixedTypes="0" containsString="0" containsNumber="1" minValue="39.92" maxValue="9052.85" count="500">
        <n v="3349.83"/>
        <n v="784.62"/>
        <n v="1836.06"/>
        <n v="4076.55"/>
        <n v="3916"/>
        <n v="2589.1999999999998"/>
        <n v="1974.89"/>
        <n v="616.96"/>
        <n v="3578.52"/>
        <n v="2019.53"/>
        <n v="7052.85"/>
        <n v="806.8"/>
        <n v="3410.15"/>
        <n v="1360.35"/>
        <n v="1766.34"/>
        <n v="4536.84"/>
        <n v="738.99"/>
        <n v="1538.17"/>
        <n v="152.66999999999999"/>
        <n v="6011.83"/>
        <n v="1546.31"/>
        <n v="3937.56"/>
        <n v="1446.97"/>
        <n v="670.06"/>
        <n v="1178.83"/>
        <n v="1144.0899999999999"/>
        <n v="1692.95"/>
        <n v="2515.34"/>
        <n v="904.59"/>
        <n v="699.73"/>
        <n v="544.95000000000005"/>
        <n v="2227.19"/>
        <n v="2522.6799999999998"/>
        <n v="1158.71"/>
        <n v="1959.99"/>
        <n v="3255.02"/>
        <n v="4577.22"/>
        <n v="515.08000000000004"/>
        <n v="785.67"/>
        <n v="1554.01"/>
        <n v="5523.1"/>
        <n v="352.22"/>
        <n v="4619.0600000000004"/>
        <n v="1401.57"/>
        <n v="1449.04"/>
        <n v="2390.85"/>
        <n v="220.5"/>
        <n v="728.03"/>
        <n v="1292.0899999999999"/>
        <n v="5468.45"/>
        <n v="804.42"/>
        <n v="2232.31"/>
        <n v="1845.24"/>
        <n v="479.01"/>
        <n v="1332.56"/>
        <n v="954.43"/>
        <n v="1340.94"/>
        <n v="110.88"/>
        <n v="4519.46"/>
        <n v="613.32000000000005"/>
        <n v="160.49"/>
        <n v="111.09"/>
        <n v="2290.16"/>
        <n v="2475.21"/>
        <n v="3076.49"/>
        <n v="3794.11"/>
        <n v="5417.89"/>
        <n v="4463.75"/>
        <n v="991.96"/>
        <n v="2595.87"/>
        <n v="4706.8100000000004"/>
        <n v="328.6"/>
        <n v="4301.25"/>
        <n v="1428.44"/>
        <n v="3061.13"/>
        <n v="3014.32"/>
        <n v="2171.73"/>
        <n v="3813.27"/>
        <n v="3224.59"/>
        <n v="1711.57"/>
        <n v="933.05"/>
        <n v="8818.74"/>
        <n v="981.15"/>
        <n v="1852.27"/>
        <n v="1846.55"/>
        <n v="7066.75"/>
        <n v="357.54"/>
        <n v="506.37"/>
        <n v="504.21"/>
        <n v="151.68"/>
        <n v="3900.34"/>
        <n v="4345.09"/>
        <n v="103.43"/>
        <n v="1371.12"/>
        <n v="4422.55"/>
        <n v="302.45999999999998"/>
        <n v="1635.71"/>
        <n v="1016.58"/>
        <n v="3521.76"/>
        <n v="2177.37"/>
        <n v="1534.19"/>
        <n v="151.22999999999999"/>
        <n v="461.13"/>
        <n v="2564.17"/>
        <n v="2372.4299999999998"/>
        <n v="473.96"/>
        <n v="723.17"/>
        <n v="1263.5"/>
        <n v="1143.8800000000001"/>
        <n v="730.32"/>
        <n v="728.71"/>
        <n v="6677.58"/>
        <n v="3806.77"/>
        <n v="9052.85"/>
        <n v="1421.27"/>
        <n v="1770.13"/>
        <n v="1395.15"/>
        <n v="5464.7"/>
        <n v="2264.88"/>
        <n v="5940.48"/>
        <n v="3990.65"/>
        <n v="7807.91"/>
        <n v="488.86"/>
        <n v="196.85"/>
        <n v="7483.83"/>
        <n v="1512.98"/>
        <n v="4408.71"/>
        <n v="5203.32"/>
        <n v="340.19"/>
        <n v="449.09"/>
        <n v="3140.39"/>
        <n v="8211.39"/>
        <n v="1628.18"/>
        <n v="199.21"/>
        <n v="1886.41"/>
        <n v="7735.05"/>
        <n v="203.18"/>
        <n v="3381.04"/>
        <n v="500.7"/>
        <n v="2401.5"/>
        <n v="1495.49"/>
        <n v="4902.6499999999996"/>
        <n v="484.32"/>
        <n v="4350.26"/>
        <n v="4642.99"/>
        <n v="2063.7199999999998"/>
        <n v="3569.8"/>
        <n v="239.66"/>
        <n v="1442.01"/>
        <n v="5352.39"/>
        <n v="4309.91"/>
        <n v="376.82"/>
        <n v="5568.75"/>
        <n v="552.52"/>
        <n v="1713.89"/>
        <n v="1226.71"/>
        <n v="2265.02"/>
        <n v="4219.2"/>
        <n v="4892.43"/>
        <n v="4056.9"/>
        <n v="3227.25"/>
        <n v="849.7"/>
        <n v="2358.4"/>
        <n v="338.77"/>
        <n v="1253.17"/>
        <n v="937.36"/>
        <n v="902.42"/>
        <n v="4712.9799999999996"/>
        <n v="6123.37"/>
        <n v="5573.28"/>
        <n v="3854.59"/>
        <n v="804.79"/>
        <n v="64.239999999999995"/>
        <n v="7181.78"/>
        <n v="719.38"/>
        <n v="2349.38"/>
        <n v="3886.44"/>
        <n v="1464.39"/>
        <n v="322.33999999999997"/>
        <n v="847.38"/>
        <n v="1773.9"/>
        <n v="3780.5"/>
        <n v="333.29"/>
        <n v="637.26"/>
        <n v="501.26"/>
        <n v="1404.86"/>
        <n v="1379.23"/>
        <n v="2084.5"/>
        <n v="549.20000000000005"/>
        <n v="2726.49"/>
        <n v="729.71"/>
        <n v="1432.23"/>
        <n v="4945.1899999999996"/>
        <n v="866.42"/>
        <n v="123.12"/>
        <n v="3957.55"/>
        <n v="997.03"/>
        <n v="2369.59"/>
        <n v="1140.23"/>
        <n v="1973.36"/>
        <n v="1843.83"/>
        <n v="3218.06"/>
        <n v="2359.2399999999998"/>
        <n v="1929.39"/>
        <n v="3418.23"/>
        <n v="1441.59"/>
        <n v="1687.54"/>
        <n v="220.91"/>
        <n v="4647.6099999999997"/>
        <n v="2207.6"/>
        <n v="4384.88"/>
        <n v="8588.56"/>
        <n v="264.31"/>
        <n v="1845.11"/>
        <n v="2135.1999999999998"/>
        <n v="7424.91"/>
        <n v="2033.49"/>
        <n v="5498.88"/>
        <n v="5225.63"/>
        <n v="4355.63"/>
        <n v="6472.17"/>
        <n v="7240.75"/>
        <n v="1834.57"/>
        <n v="2083.2600000000002"/>
        <n v="1432.92"/>
        <n v="1460.55"/>
        <n v="3288.9"/>
        <n v="1217.9000000000001"/>
        <n v="658.02"/>
        <n v="1293.23"/>
        <n v="1247.72"/>
        <n v="3724.8"/>
        <n v="5616.31"/>
        <n v="1415.93"/>
        <n v="6547.33"/>
        <n v="165.09"/>
        <n v="4504.67"/>
        <n v="1200.6199999999999"/>
        <n v="977.57"/>
        <n v="6083.21"/>
        <n v="6458.85"/>
        <n v="342.14"/>
        <n v="3221.34"/>
        <n v="4899.3500000000004"/>
        <n v="3675.69"/>
        <n v="5220.1400000000003"/>
        <n v="1047.7"/>
        <n v="2659.59"/>
        <n v="2314.04"/>
        <n v="2094.79"/>
        <n v="44.75"/>
        <n v="3537.16"/>
        <n v="4235.68"/>
        <n v="626.83000000000004"/>
        <n v="5808.06"/>
        <n v="225.88"/>
        <n v="2280.29"/>
        <n v="322.72000000000003"/>
        <n v="596.69000000000005"/>
        <n v="2308.33"/>
        <n v="3919.14"/>
        <n v="2022.88"/>
        <n v="2379.39"/>
        <n v="1477.77"/>
        <n v="7504.77"/>
        <n v="484.69"/>
        <n v="2102.71"/>
        <n v="80.290000000000006"/>
        <n v="7813.27"/>
        <n v="3748.24"/>
        <n v="4508.8999999999996"/>
        <n v="1311.34"/>
        <n v="8787.99"/>
        <n v="2804.26"/>
        <n v="4522.42"/>
        <n v="1129.04"/>
        <n v="2306.25"/>
        <n v="5342.02"/>
        <n v="1208.19"/>
        <n v="39.92"/>
        <n v="4788.9799999999996"/>
        <n v="5079.57"/>
        <n v="96.94"/>
        <n v="239.31"/>
        <n v="751.35"/>
        <n v="1191.4100000000001"/>
        <n v="1204.92"/>
        <n v="875.89"/>
        <n v="743.61"/>
        <n v="3752.76"/>
        <n v="3735.56"/>
        <n v="1114.78"/>
        <n v="3646.28"/>
        <n v="1719.22"/>
        <n v="1673.91"/>
        <n v="1379.25"/>
        <n v="2209.4499999999998"/>
        <n v="997.52"/>
        <n v="863.08"/>
        <n v="717.88"/>
        <n v="2853.29"/>
        <n v="3345.89"/>
        <n v="829.2"/>
        <n v="497.38"/>
        <n v="4464.6899999999996"/>
        <n v="3902.69"/>
        <n v="2271.5"/>
        <n v="3390.58"/>
        <n v="1816.87"/>
        <n v="6050.92"/>
        <n v="1041.1199999999999"/>
        <n v="4374.25"/>
        <n v="678.05"/>
        <n v="1298.47"/>
        <n v="3505.08"/>
        <n v="3068.54"/>
        <n v="3025.47"/>
        <n v="345.43"/>
        <n v="1609.97"/>
        <n v="1561.41"/>
        <n v="4008.76"/>
        <n v="5603.73"/>
        <n v="155.52000000000001"/>
        <n v="246.98"/>
        <n v="2102.36"/>
        <n v="2359.63"/>
        <n v="1565.14"/>
        <n v="362.02"/>
        <n v="1738.08"/>
        <n v="5399.79"/>
        <n v="4354.97"/>
        <n v="1720.53"/>
        <n v="2671.8"/>
        <n v="458.2"/>
        <n v="4736.99"/>
        <n v="408.36"/>
        <n v="5284.32"/>
        <n v="3255.61"/>
        <n v="2293.96"/>
        <n v="1334.12"/>
        <n v="4697.95"/>
        <n v="409.21"/>
        <n v="1878.2"/>
        <n v="2901.31"/>
        <n v="3314.55"/>
        <n v="3266.25"/>
        <n v="2514.4699999999998"/>
        <n v="3815"/>
        <n v="940.58"/>
        <n v="121.31"/>
        <n v="119.4"/>
        <n v="519.47"/>
        <n v="6277.27"/>
        <n v="1033.17"/>
        <n v="833.92"/>
        <n v="2492.65"/>
        <n v="5621.09"/>
        <n v="2961.71"/>
        <n v="5305.67"/>
        <n v="3336.19"/>
        <n v="1537.7"/>
        <n v="3166.75"/>
        <n v="2506.69"/>
        <n v="7166.78"/>
        <n v="1603.98"/>
        <n v="761.04"/>
        <n v="5555.02"/>
        <n v="2505.1"/>
        <n v="1425.73"/>
        <n v="348.31"/>
        <n v="2029.27"/>
        <n v="280.43"/>
        <n v="2033.31"/>
        <n v="717.72"/>
        <n v="3200.31"/>
        <n v="6641.18"/>
        <n v="507.09"/>
        <n v="1395.63"/>
        <n v="749.72"/>
        <n v="2551.6999999999998"/>
        <n v="8404"/>
        <n v="735.36"/>
        <n v="121.12"/>
        <n v="2361.79"/>
        <n v="5330.37"/>
        <n v="2396.9"/>
        <n v="6808.54"/>
        <n v="104.28"/>
        <n v="1793.6"/>
        <n v="235.09"/>
        <n v="6360.07"/>
        <n v="7805.88"/>
        <n v="2101.6799999999998"/>
        <n v="3836.69"/>
        <n v="5937.59"/>
        <n v="256.83999999999997"/>
        <n v="201.23"/>
        <n v="807.72"/>
        <n v="428.25"/>
        <n v="1158.49"/>
        <n v="418.24"/>
        <n v="2823.8"/>
        <n v="2135.0100000000002"/>
        <n v="4408.6499999999996"/>
        <n v="1170.8599999999999"/>
        <n v="2905.9"/>
        <n v="402.64"/>
        <n v="8111.19"/>
        <n v="785.14"/>
        <n v="1961.68"/>
        <n v="6403.49"/>
        <n v="514.66"/>
        <n v="768.63"/>
        <n v="125.61"/>
        <n v="2644.96"/>
        <n v="1481.74"/>
        <n v="2945.42"/>
        <n v="2390.66"/>
        <n v="803.01"/>
        <n v="2805.85"/>
        <n v="7632.76"/>
        <n v="488.93"/>
        <n v="1727.95"/>
        <n v="1971.95"/>
        <n v="7592.46"/>
        <n v="4358.2700000000004"/>
        <n v="2164.02"/>
        <n v="600.83000000000004"/>
        <n v="854.1"/>
        <n v="454.09"/>
        <n v="5181.34"/>
        <n v="458.81"/>
        <n v="1143.43"/>
        <n v="1620.52"/>
        <n v="346.26"/>
        <n v="2031.13"/>
        <n v="3168.87"/>
        <n v="2674.33"/>
        <n v="3350.28"/>
        <n v="1945.25"/>
        <n v="5588.15"/>
        <n v="6224.35"/>
        <n v="1747.69"/>
        <n v="3568.41"/>
        <n v="6122.27"/>
        <n v="620.82000000000005"/>
        <n v="2984.98"/>
        <n v="175.52"/>
        <n v="1303.31"/>
        <n v="844.42"/>
        <n v="3009.76"/>
        <n v="2123.31"/>
        <n v="3973.87"/>
        <n v="728.21"/>
        <n v="3060.01"/>
        <n v="2820.7"/>
        <n v="794.63"/>
        <n v="1424.22"/>
        <n v="1022.48"/>
        <n v="1629.11"/>
        <n v="784.16"/>
        <n v="1585.12"/>
        <n v="2073.94"/>
        <n v="2810.57"/>
        <n v="2486.87"/>
        <n v="3243.19"/>
        <n v="5434.11"/>
        <n v="2828.93"/>
        <n v="2349.39"/>
        <n v="3660.94"/>
        <n v="233.73"/>
        <n v="4431.5"/>
        <n v="2080.23"/>
        <n v="2756.44"/>
        <n v="4514.99"/>
        <n v="1362.89"/>
        <n v="4880.55"/>
        <n v="1164.01"/>
        <n v="177.11"/>
        <n v="4773.5"/>
        <n v="1939.42"/>
        <n v="786.11"/>
        <n v="1400.54"/>
        <n v="2363.73"/>
        <n v="4092.67"/>
        <n v="4449.53"/>
        <n v="1682.19"/>
        <n v="3851.11"/>
        <n v="2019.65"/>
        <n v="997.4"/>
        <n v="2023.56"/>
        <n v="2636.39"/>
        <n v="3129.69"/>
        <n v="3013.32"/>
        <n v="1101.5899999999999"/>
        <n v="6949.49"/>
        <n v="439.58"/>
        <n v="763.53"/>
        <n v="918.63"/>
        <n v="6197.74"/>
      </sharedItems>
    </cacheField>
    <cacheField name="Cost" numFmtId="0">
      <sharedItems containsSemiMixedTypes="0" containsString="0" containsNumber="1" minValue="25.99" maxValue="6099.28"/>
    </cacheField>
    <cacheField name="Profit" numFmtId="0">
      <sharedItems containsSemiMixedTypes="0" containsString="0" containsNumber="1" minValue="13.94" maxValue="4621.4399999999996" count="499">
        <n v="994.19"/>
        <n v="427.17"/>
        <n v="872.71"/>
        <n v="1027.48"/>
        <n v="1663.85"/>
        <n v="1019.43"/>
        <n v="631.79"/>
        <n v="167.97"/>
        <n v="1460.68"/>
        <n v="628.03"/>
        <n v="2773.42"/>
        <n v="330.11"/>
        <n v="1567.7"/>
        <n v="377.67"/>
        <n v="741.14"/>
        <n v="2261.61"/>
        <n v="215.61"/>
        <n v="731.36"/>
        <n v="52.93"/>
        <n v="3235.65"/>
        <n v="375.99"/>
        <n v="1359.31"/>
        <n v="653.25"/>
        <n v="333.48"/>
        <n v="511.64"/>
        <n v="296.64"/>
        <n v="420.86"/>
        <n v="1098.3699999999999"/>
        <n v="397.14"/>
        <n v="159.85"/>
        <n v="254.44"/>
        <n v="760.66"/>
        <n v="732.98"/>
        <n v="526.9"/>
        <n v="951.16"/>
        <n v="769.93"/>
        <n v="1259.2"/>
        <n v="169.93"/>
        <n v="354.88"/>
        <n v="465.11"/>
        <n v="1309.25"/>
        <n v="103.41"/>
        <n v="1422.24"/>
        <n v="327.35000000000002"/>
        <n v="728.57"/>
        <n v="702.92"/>
        <n v="44.82"/>
        <n v="370.19"/>
        <n v="258.77999999999997"/>
        <n v="1841.31"/>
        <n v="191.52"/>
        <n v="935.4"/>
        <n v="672.3"/>
        <n v="130.51"/>
        <n v="523.62"/>
        <n v="219.64"/>
        <n v="496.97"/>
        <n v="44.6"/>
        <n v="1380.17"/>
        <n v="252.99"/>
        <n v="72.77"/>
        <n v="50.77"/>
        <n v="586.1"/>
        <n v="1690.31"/>
        <n v="1587.13"/>
        <n v="2317.36"/>
        <n v="2154.5300000000002"/>
        <n v="225.69"/>
        <n v="595.47"/>
        <n v="1972.36"/>
        <n v="123.35"/>
        <n v="2216.25"/>
        <n v="613.33000000000004"/>
        <n v="704.22"/>
        <n v="1526.66"/>
        <n v="903.53"/>
        <n v="1058.92"/>
        <n v="1487.07"/>
        <n v="591.77"/>
        <n v="190.01"/>
        <n v="4621.4399999999996"/>
        <n v="394.43"/>
        <n v="424.27"/>
        <n v="1015.6"/>
        <n v="2559"/>
        <n v="128.51"/>
        <n v="212.82"/>
        <n v="264.29000000000002"/>
        <n v="82.6"/>
        <n v="1976.12"/>
        <n v="2309.36"/>
        <n v="21.74"/>
        <n v="402.09"/>
        <n v="1728.91"/>
        <n v="82.4"/>
        <n v="658.19"/>
        <n v="375.74"/>
        <n v="1576.84"/>
        <n v="1141.1199999999999"/>
        <n v="425.06"/>
        <n v="49.54"/>
        <n v="210.1"/>
        <n v="1361.31"/>
        <n v="1304.6099999999999"/>
        <n v="118.75"/>
        <n v="293.97000000000003"/>
        <n v="627.44000000000005"/>
        <n v="560.17999999999995"/>
        <n v="294.62"/>
        <n v="222.18"/>
        <n v="3106.34"/>
        <n v="1047.53"/>
        <n v="3905.85"/>
        <n v="710.27"/>
        <n v="786.8"/>
        <n v="360.19"/>
        <n v="2359.6799999999998"/>
        <n v="831.73"/>
        <n v="3033.64"/>
        <n v="1446.67"/>
        <n v="3585.4"/>
        <n v="261.25"/>
        <n v="51.86"/>
        <n v="1822.87"/>
        <n v="707.31"/>
        <n v="1758.8"/>
        <n v="2027.33"/>
        <n v="163.66999999999999"/>
        <n v="100.31"/>
        <n v="809.64"/>
        <n v="2166.8200000000002"/>
        <n v="719.38"/>
        <n v="53.67"/>
        <n v="880.9"/>
        <n v="2402.09"/>
        <n v="41.78"/>
        <n v="1327.92"/>
        <n v="254"/>
        <n v="1057.6600000000001"/>
        <n v="485.39"/>
        <n v="1071.2"/>
        <n v="171.68"/>
        <n v="1160.32"/>
        <n v="1062.52"/>
        <n v="868.96"/>
        <n v="1564.37"/>
        <n v="63.51"/>
        <n v="493.95"/>
        <n v="2110.92"/>
        <n v="1599.23"/>
        <n v="144.5"/>
        <n v="2987.49"/>
        <n v="210.15"/>
        <n v="837.07"/>
        <n v="330.73"/>
        <n v="1096.6300000000001"/>
        <n v="1194.47"/>
        <n v="1761.85"/>
        <n v="1002.37"/>
        <n v="1660.05"/>
        <n v="369.59"/>
        <n v="498.22"/>
        <n v="141.06"/>
        <n v="443.41"/>
        <n v="258.76"/>
        <n v="196.24"/>
        <n v="1596.54"/>
        <n v="3091.88"/>
        <n v="2740.95"/>
        <n v="1383.16"/>
        <n v="184.54"/>
        <n v="26.99"/>
        <n v="3395.06"/>
        <n v="238.16"/>
        <n v="833.42"/>
        <n v="817.19"/>
        <n v="562.16"/>
        <n v="66.52"/>
        <n v="359.29"/>
        <n v="736.13"/>
        <n v="1055.9000000000001"/>
        <n v="107.47"/>
        <n v="336.02"/>
        <n v="142.75"/>
        <n v="499.29"/>
        <n v="381.36"/>
        <n v="485.95"/>
        <n v="115.35"/>
        <n v="797.4"/>
        <n v="348.57"/>
        <n v="345.99"/>
        <n v="1600.14"/>
        <n v="474.46"/>
        <n v="67.62"/>
        <n v="850.09"/>
        <n v="304.88"/>
        <n v="698.21"/>
        <n v="261.99"/>
        <n v="539.23"/>
        <n v="510.56"/>
        <n v="1559.69"/>
        <n v="1140.55"/>
        <n v="448.78"/>
        <n v="1705.6"/>
        <n v="630.6"/>
        <n v="801.57"/>
        <n v="80.709999999999994"/>
        <n v="2415.27"/>
        <n v="1197.42"/>
        <n v="2219.67"/>
        <n v="3244.02"/>
        <n v="125.73"/>
        <n v="901.69"/>
        <n v="742.6"/>
        <n v="3399.1"/>
        <n v="1098.76"/>
        <n v="1954.42"/>
        <n v="1433.74"/>
        <n v="2061.54"/>
        <n v="3315.43"/>
        <n v="1678.69"/>
        <n v="905.26"/>
        <n v="827.81"/>
        <n v="532.66999999999996"/>
        <n v="362.11"/>
        <n v="1473.13"/>
        <n v="260.97000000000003"/>
        <n v="221.36"/>
        <n v="394.11"/>
        <n v="445.41"/>
        <n v="2003.05"/>
        <n v="1554.93"/>
        <n v="403.45"/>
        <n v="2786.67"/>
        <n v="36.880000000000003"/>
        <n v="2333.4"/>
        <n v="442.09"/>
        <n v="460.77"/>
        <n v="3209.05"/>
        <n v="1990.07"/>
        <n v="73.89"/>
        <n v="993.94"/>
        <n v="2681.33"/>
        <n v="1172.07"/>
        <n v="1636.36"/>
        <n v="388.51"/>
        <n v="912.07"/>
        <n v="775.4"/>
        <n v="502.29"/>
        <n v="15.68"/>
        <n v="1588.73"/>
        <n v="1246.79"/>
        <n v="173.52"/>
        <n v="1396.75"/>
        <n v="46.33"/>
        <n v="500.48"/>
        <n v="154.99"/>
        <n v="197.76"/>
        <n v="544.86"/>
        <n v="1044.8800000000001"/>
        <n v="678.01"/>
        <n v="1165.4000000000001"/>
        <n v="512.26"/>
        <n v="1664.09"/>
        <n v="218.24"/>
        <n v="475.88"/>
        <n v="27.43"/>
        <n v="3179.45"/>
        <n v="1988.41"/>
        <n v="988.69"/>
        <n v="464.91"/>
        <n v="4480.91"/>
        <n v="1540.92"/>
        <n v="2004.83"/>
        <n v="497.71"/>
        <n v="1015.52"/>
        <n v="2408.88"/>
        <n v="320.33999999999997"/>
        <n v="13.94"/>
        <n v="1346.87"/>
        <n v="2093.6999999999998"/>
        <n v="29.6"/>
        <n v="82.16"/>
        <n v="177.85"/>
        <n v="413.56"/>
        <n v="582.91"/>
        <n v="424.87"/>
        <n v="318.23"/>
        <n v="1364.39"/>
        <n v="793.23"/>
        <n v="600.72"/>
        <n v="861.7"/>
        <n v="602.03"/>
        <n v="915.85"/>
        <n v="317.01"/>
        <n v="939.82"/>
        <n v="468.01"/>
        <n v="453.51"/>
        <n v="170.09"/>
        <n v="1043.9000000000001"/>
        <n v="1578.62"/>
        <n v="426.06"/>
        <n v="257.49"/>
        <n v="2298.64"/>
        <n v="2049.5500000000002"/>
        <n v="911.53"/>
        <n v="1348.59"/>
        <n v="693.97"/>
        <n v="2367.98"/>
        <n v="293.41000000000003"/>
        <n v="2293.54"/>
        <n v="174.59"/>
        <n v="630.80999999999995"/>
        <n v="1501.71"/>
        <n v="1124.26"/>
        <n v="610.27"/>
        <n v="187.95"/>
        <n v="696.19"/>
        <n v="758.15"/>
        <n v="897.12"/>
        <n v="2457.9299999999998"/>
        <n v="82.52"/>
        <n v="90.41"/>
        <n v="855.52"/>
        <n v="1234.32"/>
        <n v="505.62"/>
        <n v="198.19"/>
        <n v="402.54"/>
        <n v="2099.8200000000002"/>
        <n v="1935.84"/>
        <n v="373.47"/>
        <n v="830.03"/>
        <n v="98.88"/>
        <n v="1380.98"/>
        <n v="129.29"/>
        <n v="2780.1"/>
        <n v="961.98"/>
        <n v="921.41"/>
        <n v="572.1"/>
        <n v="2024.98"/>
        <n v="189.35"/>
        <n v="653.07000000000005"/>
        <n v="1240.3699999999999"/>
        <n v="1712.27"/>
        <n v="1778.51"/>
        <n v="946.8"/>
        <n v="1605.67"/>
        <n v="261.92"/>
        <n v="51.8"/>
        <n v="38.61"/>
        <n v="276.48"/>
        <n v="1399.83"/>
        <n v="351.97"/>
        <n v="308.77"/>
        <n v="884.4"/>
        <n v="2482.0300000000002"/>
        <n v="1357.38"/>
        <n v="1231.21"/>
        <n v="741.8"/>
        <n v="499.23"/>
        <n v="1661.73"/>
        <n v="1086.5"/>
        <n v="3543.19"/>
        <n v="338.57"/>
        <n v="152.38999999999999"/>
        <n v="1937.57"/>
        <n v="1354.63"/>
        <n v="298.79000000000002"/>
        <n v="78.61"/>
        <n v="416.07"/>
        <n v="95.19"/>
        <n v="951.99"/>
        <n v="376.3"/>
        <n v="836.66"/>
        <n v="1784.72"/>
        <n v="271.82"/>
        <n v="565.36"/>
        <n v="218.71"/>
        <n v="1182.79"/>
        <n v="2304.7199999999998"/>
        <n v="215.59"/>
        <n v="38.39"/>
        <n v="1242.6600000000001"/>
        <n v="1392.12"/>
        <n v="1165.77"/>
        <n v="1761.54"/>
        <n v="42.98"/>
        <n v="492.47"/>
        <n v="62.56"/>
        <n v="1606.01"/>
        <n v="2713.19"/>
        <n v="594.5"/>
        <n v="1367.38"/>
        <n v="2274.1999999999998"/>
        <n v="79.290000000000006"/>
        <n v="95.24"/>
        <n v="442.96"/>
        <n v="175.74"/>
        <n v="494.65"/>
        <n v="128.94"/>
        <n v="931.81"/>
        <n v="572.21"/>
        <n v="939.62"/>
        <n v="507.13"/>
        <n v="1256.0999999999999"/>
        <n v="133.26"/>
        <n v="3824.8"/>
        <n v="368.09"/>
        <n v="797.66"/>
        <n v="2913.14"/>
        <n v="154.80000000000001"/>
        <n v="267.17"/>
        <n v="33.35"/>
        <n v="563.37"/>
        <n v="768.38"/>
        <n v="1492.69"/>
        <n v="723.41"/>
        <n v="278.95999999999998"/>
        <n v="1446.63"/>
        <n v="2954.82"/>
        <n v="170.12"/>
        <n v="861.41"/>
        <n v="713.79"/>
        <n v="1735.05"/>
        <n v="1186.83"/>
        <n v="859.07"/>
        <n v="217.35"/>
        <n v="417.68"/>
        <n v="242.07"/>
        <n v="2177.2600000000002"/>
        <n v="151.41"/>
        <n v="576.57000000000005"/>
        <n v="403.5"/>
        <n v="166.44"/>
        <n v="1102.33"/>
        <n v="1042.1600000000001"/>
        <n v="792.08"/>
        <n v="1210.74"/>
        <n v="877.72"/>
        <n v="1295.26"/>
        <n v="1778.44"/>
        <n v="727.67"/>
        <n v="1267.8499999999999"/>
        <n v="2263.23"/>
        <n v="214.52"/>
        <n v="1280.3900000000001"/>
        <n v="55.74"/>
        <n v="342.48"/>
        <n v="225.2"/>
        <n v="1387.79"/>
        <n v="524.91"/>
        <n v="1392.81"/>
        <n v="199.52"/>
        <n v="714.96"/>
        <n v="1366.94"/>
        <n v="263.70999999999998"/>
        <n v="616.30999999999995"/>
        <n v="509.37"/>
        <n v="342.5"/>
        <n v="366.96"/>
        <n v="422.71"/>
        <n v="1066.8399999999999"/>
        <n v="962.8"/>
        <n v="946.91"/>
        <n v="1734.74"/>
        <n v="1569.61"/>
        <n v="978.74"/>
        <n v="697.37"/>
        <n v="904.22"/>
        <n v="64.709999999999994"/>
        <n v="2210.42"/>
        <n v="1066.32"/>
        <n v="1274.4000000000001"/>
        <n v="946.6"/>
        <n v="548.20000000000005"/>
        <n v="1541.25"/>
        <n v="416.17"/>
        <n v="39.520000000000003"/>
        <n v="1626.45"/>
        <n v="810.11"/>
        <n v="426.62"/>
        <n v="453.15"/>
        <n v="1079.5899999999999"/>
        <n v="878.75"/>
        <n v="2123.79"/>
        <n v="480.44"/>
        <n v="993.21"/>
        <n v="1077.1600000000001"/>
        <n v="426.04"/>
        <n v="714.66"/>
        <n v="1365.1"/>
        <n v="1133.07"/>
        <n v="1432.05"/>
        <n v="388.26"/>
        <n v="3269.49"/>
        <n v="96.56"/>
        <n v="394.45"/>
        <n v="438.36"/>
        <n v="1705.53"/>
      </sharedItems>
    </cacheField>
    <cacheField name="profit Margin" numFmtId="9">
      <sharedItems containsSemiMixedTypes="0" containsString="0" containsNumber="1" minValue="0.20023914643119942" maxValue="0.54999864612385263"/>
    </cacheField>
    <cacheField name="Days (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 name="profti Margin" numFmtId="0" formula="Revenue/Profit" databaseField="0"/>
    <cacheField name="price" numFmtId="0" formula="Revenue/Units" databaseField="0"/>
    <cacheField name="Profit m" numFmtId="0" formula="(Profit/Revenue)" databaseField="0"/>
    <cacheField name=" Profit Margin" numFmtId="0" formula=" (Revenue-Cost)/Revenue" databaseField="0"/>
  </cacheFields>
  <extLst>
    <ext xmlns:x14="http://schemas.microsoft.com/office/spreadsheetml/2009/9/main" uri="{725AE2AE-9491-48be-B2B4-4EB974FC3084}">
      <x14:pivotCacheDefinition pivotCacheId="1622889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O-10001"/>
    <x v="0"/>
    <x v="0"/>
    <x v="0"/>
    <x v="0"/>
    <x v="0"/>
    <n v="705.23"/>
    <n v="0.05"/>
    <x v="0"/>
    <n v="2355.65"/>
    <x v="0"/>
    <n v="0.29678819522184713"/>
  </r>
  <r>
    <s v="SO-10002"/>
    <x v="1"/>
    <x v="1"/>
    <x v="1"/>
    <x v="1"/>
    <x v="1"/>
    <n v="91.77"/>
    <n v="0.05"/>
    <x v="1"/>
    <n v="357.45"/>
    <x v="1"/>
    <n v="0.54442915041676232"/>
  </r>
  <r>
    <s v="SO-10003"/>
    <x v="2"/>
    <x v="1"/>
    <x v="1"/>
    <x v="0"/>
    <x v="2"/>
    <n v="270.01"/>
    <n v="0.15"/>
    <x v="2"/>
    <n v="963.35"/>
    <x v="2"/>
    <n v="0.47531671078287208"/>
  </r>
  <r>
    <s v="SO-10004"/>
    <x v="3"/>
    <x v="2"/>
    <x v="0"/>
    <x v="2"/>
    <x v="3"/>
    <n v="679.43"/>
    <n v="0"/>
    <x v="3"/>
    <n v="3049.07"/>
    <x v="3"/>
    <n v="0.25204646085538013"/>
  </r>
  <r>
    <s v="SO-10005"/>
    <x v="4"/>
    <x v="1"/>
    <x v="1"/>
    <x v="3"/>
    <x v="4"/>
    <n v="412.21"/>
    <n v="0.05"/>
    <x v="4"/>
    <n v="2252.16"/>
    <x v="4"/>
    <n v="0.42488508682328907"/>
  </r>
  <r>
    <s v="SO-10006"/>
    <x v="5"/>
    <x v="1"/>
    <x v="1"/>
    <x v="4"/>
    <x v="2"/>
    <n v="323.64999999999998"/>
    <n v="0"/>
    <x v="5"/>
    <n v="1569.77"/>
    <x v="5"/>
    <n v="0.39372393017148155"/>
  </r>
  <r>
    <s v="SO-10007"/>
    <x v="6"/>
    <x v="3"/>
    <x v="1"/>
    <x v="5"/>
    <x v="0"/>
    <n v="415.77"/>
    <n v="0.05"/>
    <x v="6"/>
    <n v="1343.1"/>
    <x v="6"/>
    <n v="0.31991148874114506"/>
  </r>
  <r>
    <s v="SO-10008"/>
    <x v="7"/>
    <x v="3"/>
    <x v="0"/>
    <x v="6"/>
    <x v="5"/>
    <n v="385.6"/>
    <n v="0.2"/>
    <x v="7"/>
    <n v="448.99"/>
    <x v="7"/>
    <n v="0.27225427904564314"/>
  </r>
  <r>
    <s v="SO-10009"/>
    <x v="8"/>
    <x v="0"/>
    <x v="2"/>
    <x v="7"/>
    <x v="3"/>
    <n v="596.41999999999996"/>
    <n v="0"/>
    <x v="8"/>
    <n v="2117.84"/>
    <x v="8"/>
    <n v="0.40817991795490877"/>
  </r>
  <r>
    <s v="SO-10010"/>
    <x v="9"/>
    <x v="3"/>
    <x v="1"/>
    <x v="2"/>
    <x v="6"/>
    <n v="631.1"/>
    <n v="0.2"/>
    <x v="9"/>
    <n v="1391.49"/>
    <x v="9"/>
    <n v="0.31097829693047391"/>
  </r>
  <r>
    <s v="SO-10011"/>
    <x v="10"/>
    <x v="3"/>
    <x v="2"/>
    <x v="2"/>
    <x v="1"/>
    <n v="783.65"/>
    <n v="0"/>
    <x v="10"/>
    <n v="4279.4399999999996"/>
    <x v="10"/>
    <n v="0.3932339408891441"/>
  </r>
  <r>
    <s v="SO-10012"/>
    <x v="11"/>
    <x v="0"/>
    <x v="0"/>
    <x v="0"/>
    <x v="1"/>
    <n v="99.6"/>
    <n v="0.1"/>
    <x v="11"/>
    <n v="476.68"/>
    <x v="11"/>
    <n v="0.40915964303420926"/>
  </r>
  <r>
    <s v="SO-10013"/>
    <x v="12"/>
    <x v="1"/>
    <x v="0"/>
    <x v="3"/>
    <x v="3"/>
    <n v="710.45"/>
    <n v="0.2"/>
    <x v="12"/>
    <n v="1842.45"/>
    <x v="12"/>
    <n v="0.45971584827646877"/>
  </r>
  <r>
    <s v="SO-10014"/>
    <x v="13"/>
    <x v="1"/>
    <x v="2"/>
    <x v="4"/>
    <x v="7"/>
    <n v="477.32"/>
    <n v="0.05"/>
    <x v="13"/>
    <n v="982.68"/>
    <x v="13"/>
    <n v="0.27762708126585073"/>
  </r>
  <r>
    <s v="SO-10015"/>
    <x v="14"/>
    <x v="0"/>
    <x v="1"/>
    <x v="2"/>
    <x v="8"/>
    <n v="252.33"/>
    <n v="0"/>
    <x v="14"/>
    <n v="1025.2"/>
    <x v="14"/>
    <n v="0.41959079225970086"/>
  </r>
  <r>
    <s v="SO-10016"/>
    <x v="15"/>
    <x v="0"/>
    <x v="0"/>
    <x v="1"/>
    <x v="8"/>
    <n v="720.13"/>
    <n v="0.1"/>
    <x v="15"/>
    <n v="2275.23"/>
    <x v="15"/>
    <n v="0.49849895521993282"/>
  </r>
  <r>
    <s v="SO-10017"/>
    <x v="16"/>
    <x v="3"/>
    <x v="2"/>
    <x v="2"/>
    <x v="5"/>
    <n v="434.7"/>
    <n v="0.15"/>
    <x v="16"/>
    <n v="523.37"/>
    <x v="16"/>
    <n v="0.29176308204441198"/>
  </r>
  <r>
    <s v="SO-10018"/>
    <x v="17"/>
    <x v="3"/>
    <x v="0"/>
    <x v="0"/>
    <x v="0"/>
    <n v="361.92"/>
    <n v="0.15"/>
    <x v="17"/>
    <n v="806.8"/>
    <x v="17"/>
    <n v="0.47547410234239385"/>
  </r>
  <r>
    <s v="SO-10019"/>
    <x v="18"/>
    <x v="0"/>
    <x v="1"/>
    <x v="2"/>
    <x v="9"/>
    <n v="179.61"/>
    <n v="0.15"/>
    <x v="18"/>
    <n v="99.74"/>
    <x v="18"/>
    <n v="0.34669548699810049"/>
  </r>
  <r>
    <s v="SO-10020"/>
    <x v="19"/>
    <x v="2"/>
    <x v="2"/>
    <x v="7"/>
    <x v="4"/>
    <n v="707.27"/>
    <n v="0.15"/>
    <x v="19"/>
    <n v="2776.18"/>
    <x v="19"/>
    <n v="0.53821382174811994"/>
  </r>
  <r>
    <s v="SO-10021"/>
    <x v="20"/>
    <x v="0"/>
    <x v="0"/>
    <x v="7"/>
    <x v="3"/>
    <n v="257.72000000000003"/>
    <n v="0"/>
    <x v="20"/>
    <n v="1170.32"/>
    <x v="20"/>
    <n v="0.24315305469149137"/>
  </r>
  <r>
    <s v="SO-10022"/>
    <x v="21"/>
    <x v="2"/>
    <x v="1"/>
    <x v="6"/>
    <x v="3"/>
    <n v="820.33"/>
    <n v="0.2"/>
    <x v="21"/>
    <n v="2578.2600000000002"/>
    <x v="21"/>
    <n v="0.34521632686232084"/>
  </r>
  <r>
    <s v="SO-10023"/>
    <x v="22"/>
    <x v="2"/>
    <x v="1"/>
    <x v="0"/>
    <x v="1"/>
    <n v="160.77000000000001"/>
    <n v="0"/>
    <x v="22"/>
    <n v="793.72"/>
    <x v="22"/>
    <n v="0.45146063843756262"/>
  </r>
  <r>
    <s v="SO-10024"/>
    <x v="23"/>
    <x v="0"/>
    <x v="0"/>
    <x v="1"/>
    <x v="5"/>
    <n v="335.03"/>
    <n v="0"/>
    <x v="23"/>
    <n v="336.59"/>
    <x v="23"/>
    <n v="0.49768677431871777"/>
  </r>
  <r>
    <s v="SO-10025"/>
    <x v="24"/>
    <x v="2"/>
    <x v="1"/>
    <x v="1"/>
    <x v="7"/>
    <n v="392.94"/>
    <n v="0"/>
    <x v="24"/>
    <n v="667.19"/>
    <x v="24"/>
    <n v="0.43402356573891065"/>
  </r>
  <r>
    <s v="SO-10026"/>
    <x v="25"/>
    <x v="3"/>
    <x v="1"/>
    <x v="0"/>
    <x v="0"/>
    <n v="228.82"/>
    <n v="0"/>
    <x v="25"/>
    <n v="847.46"/>
    <x v="25"/>
    <n v="0.25928030137489183"/>
  </r>
  <r>
    <s v="SO-10027"/>
    <x v="26"/>
    <x v="0"/>
    <x v="2"/>
    <x v="1"/>
    <x v="10"/>
    <n v="181.06"/>
    <n v="0.15"/>
    <x v="26"/>
    <n v="1272.08"/>
    <x v="26"/>
    <n v="0.24859564665229333"/>
  </r>
  <r>
    <s v="SO-10028"/>
    <x v="27"/>
    <x v="1"/>
    <x v="0"/>
    <x v="0"/>
    <x v="6"/>
    <n v="628.84"/>
    <n v="0"/>
    <x v="27"/>
    <n v="1416.97"/>
    <x v="27"/>
    <n v="0.4366686014614326"/>
  </r>
  <r>
    <s v="SO-10029"/>
    <x v="28"/>
    <x v="2"/>
    <x v="1"/>
    <x v="2"/>
    <x v="5"/>
    <n v="476.1"/>
    <n v="0.05"/>
    <x v="28"/>
    <n v="507.44"/>
    <x v="28"/>
    <n v="0.43902762577521304"/>
  </r>
  <r>
    <s v="SO-10030"/>
    <x v="29"/>
    <x v="0"/>
    <x v="0"/>
    <x v="2"/>
    <x v="5"/>
    <n v="349.86"/>
    <n v="0"/>
    <x v="29"/>
    <n v="539.87"/>
    <x v="29"/>
    <n v="0.22844525745644748"/>
  </r>
  <r>
    <s v="SO-10031"/>
    <x v="29"/>
    <x v="0"/>
    <x v="0"/>
    <x v="7"/>
    <x v="0"/>
    <n v="128.22"/>
    <n v="0.15"/>
    <x v="30"/>
    <n v="290.51"/>
    <x v="30"/>
    <n v="0.46690522066244605"/>
  </r>
  <r>
    <s v="SO-10032"/>
    <x v="30"/>
    <x v="3"/>
    <x v="2"/>
    <x v="1"/>
    <x v="8"/>
    <n v="353.52"/>
    <n v="0.1"/>
    <x v="31"/>
    <n v="1466.53"/>
    <x v="31"/>
    <n v="0.34153350185659953"/>
  </r>
  <r>
    <s v="SO-10033"/>
    <x v="22"/>
    <x v="1"/>
    <x v="2"/>
    <x v="5"/>
    <x v="10"/>
    <n v="229.33"/>
    <n v="0"/>
    <x v="32"/>
    <n v="1789.7"/>
    <x v="32"/>
    <n v="0.29055607528501437"/>
  </r>
  <r>
    <s v="SO-10034"/>
    <x v="31"/>
    <x v="1"/>
    <x v="0"/>
    <x v="3"/>
    <x v="2"/>
    <n v="144.84"/>
    <n v="0"/>
    <x v="33"/>
    <n v="631.80999999999995"/>
    <x v="33"/>
    <n v="0.45472982886140617"/>
  </r>
  <r>
    <s v="SO-10035"/>
    <x v="32"/>
    <x v="1"/>
    <x v="1"/>
    <x v="5"/>
    <x v="7"/>
    <n v="653.33000000000004"/>
    <n v="0"/>
    <x v="34"/>
    <n v="1008.83"/>
    <x v="34"/>
    <n v="0.48528819024586856"/>
  </r>
  <r>
    <s v="SO-10036"/>
    <x v="33"/>
    <x v="3"/>
    <x v="1"/>
    <x v="1"/>
    <x v="3"/>
    <n v="542.5"/>
    <n v="0"/>
    <x v="35"/>
    <n v="2485.09"/>
    <x v="35"/>
    <n v="0.23653618103729007"/>
  </r>
  <r>
    <s v="SO-10037"/>
    <x v="34"/>
    <x v="0"/>
    <x v="0"/>
    <x v="5"/>
    <x v="2"/>
    <n v="572.15"/>
    <n v="0"/>
    <x v="36"/>
    <n v="3318.01"/>
    <x v="36"/>
    <n v="0.27510148081149693"/>
  </r>
  <r>
    <s v="SO-10038"/>
    <x v="35"/>
    <x v="2"/>
    <x v="1"/>
    <x v="1"/>
    <x v="5"/>
    <n v="271.08999999999997"/>
    <n v="0.05"/>
    <x v="37"/>
    <n v="345.15"/>
    <x v="37"/>
    <n v="0.32990991690611166"/>
  </r>
  <r>
    <s v="SO-10039"/>
    <x v="36"/>
    <x v="0"/>
    <x v="2"/>
    <x v="4"/>
    <x v="1"/>
    <n v="97"/>
    <n v="0.1"/>
    <x v="38"/>
    <n v="430.79"/>
    <x v="38"/>
    <n v="0.45169091348785118"/>
  </r>
  <r>
    <s v="SO-10040"/>
    <x v="37"/>
    <x v="1"/>
    <x v="0"/>
    <x v="0"/>
    <x v="3"/>
    <n v="272.63"/>
    <n v="0.05"/>
    <x v="39"/>
    <n v="1088.8900000000001"/>
    <x v="39"/>
    <n v="0.299296658322662"/>
  </r>
  <r>
    <s v="SO-10041"/>
    <x v="38"/>
    <x v="2"/>
    <x v="0"/>
    <x v="4"/>
    <x v="1"/>
    <n v="681.86"/>
    <n v="0.1"/>
    <x v="40"/>
    <n v="4213.8500000000004"/>
    <x v="40"/>
    <n v="0.23704984519563288"/>
  </r>
  <r>
    <s v="SO-10042"/>
    <x v="39"/>
    <x v="1"/>
    <x v="2"/>
    <x v="3"/>
    <x v="7"/>
    <n v="117.41"/>
    <n v="0"/>
    <x v="41"/>
    <n v="248.81"/>
    <x v="41"/>
    <n v="0.29359491227073986"/>
  </r>
  <r>
    <s v="SO-10043"/>
    <x v="40"/>
    <x v="2"/>
    <x v="2"/>
    <x v="5"/>
    <x v="4"/>
    <n v="513.23"/>
    <n v="0.1"/>
    <x v="42"/>
    <n v="3196.82"/>
    <x v="42"/>
    <n v="0.30790680354877398"/>
  </r>
  <r>
    <s v="SO-10044"/>
    <x v="41"/>
    <x v="2"/>
    <x v="1"/>
    <x v="4"/>
    <x v="6"/>
    <n v="389.33"/>
    <n v="0.1"/>
    <x v="43"/>
    <n v="1074.22"/>
    <x v="43"/>
    <n v="0.2335595082657306"/>
  </r>
  <r>
    <s v="SO-10045"/>
    <x v="42"/>
    <x v="1"/>
    <x v="2"/>
    <x v="5"/>
    <x v="4"/>
    <n v="161"/>
    <n v="0.1"/>
    <x v="44"/>
    <n v="720.47"/>
    <x v="44"/>
    <n v="0.50279495390051354"/>
  </r>
  <r>
    <s v="SO-10046"/>
    <x v="43"/>
    <x v="3"/>
    <x v="0"/>
    <x v="6"/>
    <x v="7"/>
    <n v="838.89"/>
    <n v="0.05"/>
    <x v="45"/>
    <n v="1687.93"/>
    <x v="45"/>
    <n v="0.29400422443900703"/>
  </r>
  <r>
    <s v="SO-10047"/>
    <x v="44"/>
    <x v="1"/>
    <x v="1"/>
    <x v="7"/>
    <x v="9"/>
    <n v="259.42"/>
    <n v="0.15"/>
    <x v="46"/>
    <n v="175.68"/>
    <x v="46"/>
    <n v="0.20326530612244897"/>
  </r>
  <r>
    <s v="SO-10048"/>
    <x v="45"/>
    <x v="1"/>
    <x v="0"/>
    <x v="3"/>
    <x v="2"/>
    <n v="95.79"/>
    <n v="0.05"/>
    <x v="47"/>
    <n v="357.84"/>
    <x v="47"/>
    <n v="0.50848179333269239"/>
  </r>
  <r>
    <s v="SO-10049"/>
    <x v="46"/>
    <x v="1"/>
    <x v="0"/>
    <x v="5"/>
    <x v="7"/>
    <n v="430.7"/>
    <n v="0"/>
    <x v="48"/>
    <n v="1033.31"/>
    <x v="48"/>
    <n v="0.20028016624228961"/>
  </r>
  <r>
    <s v="SO-10050"/>
    <x v="47"/>
    <x v="1"/>
    <x v="1"/>
    <x v="3"/>
    <x v="2"/>
    <n v="804.18"/>
    <n v="0.15"/>
    <x v="49"/>
    <n v="3627.14"/>
    <x v="49"/>
    <n v="0.33671515694575244"/>
  </r>
  <r>
    <s v="SO-10051"/>
    <x v="33"/>
    <x v="0"/>
    <x v="2"/>
    <x v="3"/>
    <x v="2"/>
    <n v="111.72"/>
    <n v="0.1"/>
    <x v="50"/>
    <n v="612.9"/>
    <x v="50"/>
    <n v="0.23808458268068922"/>
  </r>
  <r>
    <s v="SO-10052"/>
    <x v="48"/>
    <x v="2"/>
    <x v="1"/>
    <x v="4"/>
    <x v="10"/>
    <n v="225.49"/>
    <n v="0.1"/>
    <x v="51"/>
    <n v="1296.9000000000001"/>
    <x v="51"/>
    <n v="0.41902782319659904"/>
  </r>
  <r>
    <s v="SO-10053"/>
    <x v="49"/>
    <x v="1"/>
    <x v="1"/>
    <x v="0"/>
    <x v="0"/>
    <n v="388.47"/>
    <n v="0.05"/>
    <x v="52"/>
    <n v="1172.94"/>
    <x v="52"/>
    <n v="0.36434284971060671"/>
  </r>
  <r>
    <s v="SO-10054"/>
    <x v="50"/>
    <x v="3"/>
    <x v="0"/>
    <x v="4"/>
    <x v="9"/>
    <n v="479.01"/>
    <n v="0"/>
    <x v="53"/>
    <n v="348.5"/>
    <x v="53"/>
    <n v="0.2724577774994259"/>
  </r>
  <r>
    <s v="SO-10055"/>
    <x v="51"/>
    <x v="2"/>
    <x v="1"/>
    <x v="4"/>
    <x v="5"/>
    <n v="701.35"/>
    <n v="0.05"/>
    <x v="54"/>
    <n v="808.94"/>
    <x v="54"/>
    <n v="0.39294290688599387"/>
  </r>
  <r>
    <s v="SO-10056"/>
    <x v="52"/>
    <x v="2"/>
    <x v="2"/>
    <x v="5"/>
    <x v="4"/>
    <n v="112.29"/>
    <n v="0.15"/>
    <x v="55"/>
    <n v="734.79"/>
    <x v="55"/>
    <n v="0.23012688201334827"/>
  </r>
  <r>
    <s v="SO-10057"/>
    <x v="46"/>
    <x v="2"/>
    <x v="2"/>
    <x v="3"/>
    <x v="5"/>
    <n v="670.47"/>
    <n v="0"/>
    <x v="56"/>
    <n v="843.98"/>
    <x v="56"/>
    <n v="0.37061315196802241"/>
  </r>
  <r>
    <s v="SO-10058"/>
    <x v="53"/>
    <x v="1"/>
    <x v="2"/>
    <x v="6"/>
    <x v="5"/>
    <n v="69.3"/>
    <n v="0.2"/>
    <x v="57"/>
    <n v="66.28"/>
    <x v="57"/>
    <n v="0.40223665223665228"/>
  </r>
  <r>
    <s v="SO-10059"/>
    <x v="54"/>
    <x v="0"/>
    <x v="2"/>
    <x v="1"/>
    <x v="2"/>
    <n v="664.63"/>
    <n v="0.15"/>
    <x v="58"/>
    <n v="3139.28"/>
    <x v="58"/>
    <n v="0.30538382904152267"/>
  </r>
  <r>
    <s v="SO-10060"/>
    <x v="34"/>
    <x v="3"/>
    <x v="2"/>
    <x v="2"/>
    <x v="5"/>
    <n v="383.32"/>
    <n v="0.2"/>
    <x v="59"/>
    <n v="360.33"/>
    <x v="59"/>
    <n v="0.41249266288397574"/>
  </r>
  <r>
    <s v="SO-10061"/>
    <x v="55"/>
    <x v="2"/>
    <x v="1"/>
    <x v="7"/>
    <x v="1"/>
    <n v="18.77"/>
    <n v="0.05"/>
    <x v="60"/>
    <n v="87.72"/>
    <x v="60"/>
    <n v="0.45342388933889954"/>
  </r>
  <r>
    <s v="SO-10062"/>
    <x v="15"/>
    <x v="0"/>
    <x v="0"/>
    <x v="4"/>
    <x v="3"/>
    <n v="19.489999999999998"/>
    <n v="0.05"/>
    <x v="61"/>
    <n v="60.32"/>
    <x v="61"/>
    <n v="0.45701683319830771"/>
  </r>
  <r>
    <s v="SO-10063"/>
    <x v="56"/>
    <x v="2"/>
    <x v="0"/>
    <x v="6"/>
    <x v="2"/>
    <n v="318.08"/>
    <n v="0.1"/>
    <x v="62"/>
    <n v="1704.05"/>
    <x v="62"/>
    <n v="0.25592098368672933"/>
  </r>
  <r>
    <s v="SO-10064"/>
    <x v="57"/>
    <x v="0"/>
    <x v="0"/>
    <x v="0"/>
    <x v="3"/>
    <n v="458.37"/>
    <n v="0.1"/>
    <x v="63"/>
    <n v="1481.02"/>
    <x v="0"/>
    <n v="0.40165884914815309"/>
  </r>
  <r>
    <s v="SO-10065"/>
    <x v="58"/>
    <x v="1"/>
    <x v="0"/>
    <x v="2"/>
    <x v="10"/>
    <n v="310.76"/>
    <n v="0.1"/>
    <x v="64"/>
    <n v="1386.18"/>
    <x v="63"/>
    <n v="0.5494280820025419"/>
  </r>
  <r>
    <s v="SO-10066"/>
    <x v="59"/>
    <x v="1"/>
    <x v="0"/>
    <x v="1"/>
    <x v="1"/>
    <n v="443.76"/>
    <n v="0.05"/>
    <x v="65"/>
    <n v="2206.98"/>
    <x v="64"/>
    <n v="0.41831417644717733"/>
  </r>
  <r>
    <s v="SO-10067"/>
    <x v="60"/>
    <x v="3"/>
    <x v="0"/>
    <x v="0"/>
    <x v="8"/>
    <n v="773.98"/>
    <n v="0"/>
    <x v="66"/>
    <n v="3100.52"/>
    <x v="65"/>
    <n v="0.42772370793796111"/>
  </r>
  <r>
    <s v="SO-10068"/>
    <x v="61"/>
    <x v="2"/>
    <x v="0"/>
    <x v="5"/>
    <x v="0"/>
    <n v="892.75"/>
    <n v="0"/>
    <x v="67"/>
    <n v="2309.2199999999998"/>
    <x v="66"/>
    <n v="0.48267264071688609"/>
  </r>
  <r>
    <s v="SO-10069"/>
    <x v="62"/>
    <x v="0"/>
    <x v="1"/>
    <x v="7"/>
    <x v="4"/>
    <n v="110.22"/>
    <n v="0.1"/>
    <x v="68"/>
    <n v="766.27"/>
    <x v="67"/>
    <n v="0.22751925480866164"/>
  </r>
  <r>
    <s v="SO-10070"/>
    <x v="53"/>
    <x v="2"/>
    <x v="2"/>
    <x v="3"/>
    <x v="7"/>
    <n v="865.29"/>
    <n v="0"/>
    <x v="69"/>
    <n v="2000.39"/>
    <x v="68"/>
    <n v="0.22939130233794452"/>
  </r>
  <r>
    <s v="SO-10071"/>
    <x v="63"/>
    <x v="3"/>
    <x v="1"/>
    <x v="4"/>
    <x v="1"/>
    <n v="550.5"/>
    <n v="0.05"/>
    <x v="70"/>
    <n v="2734.44"/>
    <x v="69"/>
    <n v="0.41904389597200647"/>
  </r>
  <r>
    <s v="SO-10072"/>
    <x v="64"/>
    <x v="2"/>
    <x v="0"/>
    <x v="0"/>
    <x v="0"/>
    <n v="77.319999999999993"/>
    <n v="0.15"/>
    <x v="71"/>
    <n v="205.25"/>
    <x v="70"/>
    <n v="0.37538040170419962"/>
  </r>
  <r>
    <s v="SO-10073"/>
    <x v="65"/>
    <x v="3"/>
    <x v="1"/>
    <x v="5"/>
    <x v="3"/>
    <n v="843.38"/>
    <n v="0.15"/>
    <x v="72"/>
    <n v="2085"/>
    <x v="71"/>
    <n v="0.51525719267654757"/>
  </r>
  <r>
    <s v="SO-10074"/>
    <x v="66"/>
    <x v="1"/>
    <x v="0"/>
    <x v="0"/>
    <x v="6"/>
    <n v="357.11"/>
    <n v="0"/>
    <x v="73"/>
    <n v="815.11"/>
    <x v="72"/>
    <n v="0.42937050208619193"/>
  </r>
  <r>
    <s v="SO-10075"/>
    <x v="67"/>
    <x v="0"/>
    <x v="0"/>
    <x v="4"/>
    <x v="0"/>
    <n v="612.23"/>
    <n v="0"/>
    <x v="74"/>
    <n v="2356.91"/>
    <x v="73"/>
    <n v="0.23005230094768925"/>
  </r>
  <r>
    <s v="SO-10076"/>
    <x v="68"/>
    <x v="0"/>
    <x v="2"/>
    <x v="5"/>
    <x v="0"/>
    <n v="709.25"/>
    <n v="0.15"/>
    <x v="75"/>
    <n v="1487.66"/>
    <x v="74"/>
    <n v="0.50646912073038031"/>
  </r>
  <r>
    <s v="SO-10077"/>
    <x v="69"/>
    <x v="3"/>
    <x v="0"/>
    <x v="2"/>
    <x v="3"/>
    <n v="361.95"/>
    <n v="0"/>
    <x v="76"/>
    <n v="1268.2"/>
    <x v="75"/>
    <n v="0.41604158896363724"/>
  </r>
  <r>
    <s v="SO-10078"/>
    <x v="70"/>
    <x v="2"/>
    <x v="1"/>
    <x v="7"/>
    <x v="0"/>
    <n v="847.39"/>
    <n v="0.1"/>
    <x v="77"/>
    <n v="2754.35"/>
    <x v="76"/>
    <n v="0.27769342322993129"/>
  </r>
  <r>
    <s v="SO-10079"/>
    <x v="16"/>
    <x v="0"/>
    <x v="0"/>
    <x v="2"/>
    <x v="6"/>
    <n v="806.15"/>
    <n v="0"/>
    <x v="78"/>
    <n v="1737.52"/>
    <x v="77"/>
    <n v="0.46116560554985281"/>
  </r>
  <r>
    <s v="SO-10080"/>
    <x v="71"/>
    <x v="2"/>
    <x v="0"/>
    <x v="5"/>
    <x v="6"/>
    <n v="427.89"/>
    <n v="0"/>
    <x v="79"/>
    <n v="1119.8"/>
    <x v="78"/>
    <n v="0.34574688736072728"/>
  </r>
  <r>
    <s v="SO-10081"/>
    <x v="72"/>
    <x v="3"/>
    <x v="1"/>
    <x v="7"/>
    <x v="1"/>
    <n v="115.19"/>
    <n v="0.1"/>
    <x v="80"/>
    <n v="743.04"/>
    <x v="79"/>
    <n v="0.20364396334601576"/>
  </r>
  <r>
    <s v="SO-10082"/>
    <x v="73"/>
    <x v="0"/>
    <x v="0"/>
    <x v="0"/>
    <x v="4"/>
    <n v="881.87"/>
    <n v="0"/>
    <x v="81"/>
    <n v="4197.3"/>
    <x v="80"/>
    <n v="0.52404765306608425"/>
  </r>
  <r>
    <s v="SO-10083"/>
    <x v="74"/>
    <x v="2"/>
    <x v="1"/>
    <x v="7"/>
    <x v="5"/>
    <n v="545.08000000000004"/>
    <n v="0.1"/>
    <x v="82"/>
    <n v="586.72"/>
    <x v="81"/>
    <n v="0.40200784793354738"/>
  </r>
  <r>
    <s v="SO-10084"/>
    <x v="75"/>
    <x v="1"/>
    <x v="0"/>
    <x v="3"/>
    <x v="8"/>
    <n v="330.76"/>
    <n v="0.2"/>
    <x v="83"/>
    <n v="1428"/>
    <x v="82"/>
    <n v="0.22905407958882884"/>
  </r>
  <r>
    <s v="SO-10085"/>
    <x v="76"/>
    <x v="2"/>
    <x v="0"/>
    <x v="1"/>
    <x v="0"/>
    <n v="388.75"/>
    <n v="0.05"/>
    <x v="84"/>
    <n v="830.95"/>
    <x v="83"/>
    <n v="0.54999864612385263"/>
  </r>
  <r>
    <s v="SO-10086"/>
    <x v="77"/>
    <x v="1"/>
    <x v="0"/>
    <x v="7"/>
    <x v="4"/>
    <n v="883.34"/>
    <n v="0.2"/>
    <x v="85"/>
    <n v="4507.75"/>
    <x v="84"/>
    <n v="0.36211837124562213"/>
  </r>
  <r>
    <s v="SO-10087"/>
    <x v="78"/>
    <x v="2"/>
    <x v="0"/>
    <x v="2"/>
    <x v="9"/>
    <n v="397.27"/>
    <n v="0.1"/>
    <x v="86"/>
    <n v="229.04"/>
    <x v="85"/>
    <n v="0.35942831571292716"/>
  </r>
  <r>
    <s v="SO-10088"/>
    <x v="12"/>
    <x v="1"/>
    <x v="1"/>
    <x v="0"/>
    <x v="6"/>
    <n v="126.59"/>
    <n v="0"/>
    <x v="87"/>
    <n v="293.56"/>
    <x v="86"/>
    <n v="0.42028556194087324"/>
  </r>
  <r>
    <s v="SO-10089"/>
    <x v="79"/>
    <x v="1"/>
    <x v="0"/>
    <x v="3"/>
    <x v="9"/>
    <n v="593.19000000000005"/>
    <n v="0.15"/>
    <x v="88"/>
    <n v="239.92"/>
    <x v="87"/>
    <n v="0.52416651791912106"/>
  </r>
  <r>
    <s v="SO-10090"/>
    <x v="80"/>
    <x v="0"/>
    <x v="1"/>
    <x v="2"/>
    <x v="5"/>
    <n v="84.27"/>
    <n v="0.1"/>
    <x v="89"/>
    <n v="69.08"/>
    <x v="88"/>
    <n v="0.54456751054852315"/>
  </r>
  <r>
    <s v="SO-10091"/>
    <x v="36"/>
    <x v="1"/>
    <x v="0"/>
    <x v="0"/>
    <x v="0"/>
    <n v="821.12"/>
    <n v="0.05"/>
    <x v="90"/>
    <n v="1924.22"/>
    <x v="89"/>
    <n v="0.5066532661255172"/>
  </r>
  <r>
    <s v="SO-10092"/>
    <x v="73"/>
    <x v="3"/>
    <x v="1"/>
    <x v="6"/>
    <x v="2"/>
    <n v="603.49"/>
    <n v="0.1"/>
    <x v="91"/>
    <n v="2035.73"/>
    <x v="90"/>
    <n v="0.5314872649358241"/>
  </r>
  <r>
    <s v="SO-10093"/>
    <x v="81"/>
    <x v="2"/>
    <x v="2"/>
    <x v="0"/>
    <x v="9"/>
    <n v="114.92"/>
    <n v="0.1"/>
    <x v="92"/>
    <n v="81.69"/>
    <x v="91"/>
    <n v="0.21019046698250021"/>
  </r>
  <r>
    <s v="SO-10094"/>
    <x v="82"/>
    <x v="3"/>
    <x v="0"/>
    <x v="7"/>
    <x v="4"/>
    <n v="152.35"/>
    <n v="0.1"/>
    <x v="93"/>
    <n v="969.04"/>
    <x v="92"/>
    <n v="0.29325660773674078"/>
  </r>
  <r>
    <s v="SO-10095"/>
    <x v="83"/>
    <x v="1"/>
    <x v="1"/>
    <x v="0"/>
    <x v="3"/>
    <n v="775.89"/>
    <n v="0.05"/>
    <x v="94"/>
    <n v="2693.64"/>
    <x v="93"/>
    <n v="0.39093057172897988"/>
  </r>
  <r>
    <s v="SO-10096"/>
    <x v="67"/>
    <x v="3"/>
    <x v="1"/>
    <x v="3"/>
    <x v="9"/>
    <n v="302.45999999999998"/>
    <n v="0"/>
    <x v="95"/>
    <n v="220.07"/>
    <x v="94"/>
    <n v="0.27243271837598365"/>
  </r>
  <r>
    <s v="SO-10097"/>
    <x v="84"/>
    <x v="1"/>
    <x v="1"/>
    <x v="7"/>
    <x v="7"/>
    <n v="545.24"/>
    <n v="0"/>
    <x v="96"/>
    <n v="977.51"/>
    <x v="95"/>
    <n v="0.40238795385490095"/>
  </r>
  <r>
    <s v="SO-10098"/>
    <x v="85"/>
    <x v="1"/>
    <x v="2"/>
    <x v="0"/>
    <x v="0"/>
    <n v="214.02"/>
    <n v="0.05"/>
    <x v="97"/>
    <n v="640.84"/>
    <x v="96"/>
    <n v="0.36961183576304862"/>
  </r>
  <r>
    <s v="SO-10099"/>
    <x v="86"/>
    <x v="0"/>
    <x v="2"/>
    <x v="4"/>
    <x v="2"/>
    <n v="463.39"/>
    <n v="0.05"/>
    <x v="98"/>
    <n v="1944.92"/>
    <x v="97"/>
    <n v="0.44774203807187313"/>
  </r>
  <r>
    <s v="SO-10100"/>
    <x v="87"/>
    <x v="2"/>
    <x v="2"/>
    <x v="5"/>
    <x v="1"/>
    <n v="241.93"/>
    <n v="0"/>
    <x v="99"/>
    <n v="1036.25"/>
    <x v="98"/>
    <n v="0.52408180511350844"/>
  </r>
  <r>
    <s v="SO-10101"/>
    <x v="88"/>
    <x v="3"/>
    <x v="0"/>
    <x v="0"/>
    <x v="7"/>
    <n v="538.30999999999995"/>
    <n v="0.05"/>
    <x v="100"/>
    <n v="1109.1300000000001"/>
    <x v="99"/>
    <n v="0.27705825223733693"/>
  </r>
  <r>
    <s v="SO-10102"/>
    <x v="89"/>
    <x v="2"/>
    <x v="0"/>
    <x v="6"/>
    <x v="9"/>
    <n v="151.22999999999999"/>
    <n v="0"/>
    <x v="101"/>
    <n v="101.69"/>
    <x v="100"/>
    <n v="0.32758050651325799"/>
  </r>
  <r>
    <s v="SO-10103"/>
    <x v="90"/>
    <x v="3"/>
    <x v="2"/>
    <x v="3"/>
    <x v="5"/>
    <n v="256.18"/>
    <n v="0.1"/>
    <x v="102"/>
    <n v="251.03"/>
    <x v="101"/>
    <n v="0.45561989026955524"/>
  </r>
  <r>
    <s v="SO-10104"/>
    <x v="91"/>
    <x v="3"/>
    <x v="2"/>
    <x v="6"/>
    <x v="10"/>
    <n v="245.38"/>
    <n v="0.05"/>
    <x v="103"/>
    <n v="1202.8599999999999"/>
    <x v="102"/>
    <n v="0.53089693741054611"/>
  </r>
  <r>
    <s v="SO-10105"/>
    <x v="92"/>
    <x v="3"/>
    <x v="0"/>
    <x v="1"/>
    <x v="1"/>
    <n v="263.60000000000002"/>
    <n v="0"/>
    <x v="104"/>
    <n v="1067.82"/>
    <x v="103"/>
    <n v="0.54990452826848424"/>
  </r>
  <r>
    <s v="SO-10106"/>
    <x v="93"/>
    <x v="1"/>
    <x v="1"/>
    <x v="2"/>
    <x v="5"/>
    <n v="249.45"/>
    <n v="0.05"/>
    <x v="105"/>
    <n v="355.21"/>
    <x v="104"/>
    <n v="0.25054856949953586"/>
  </r>
  <r>
    <s v="SO-10107"/>
    <x v="14"/>
    <x v="2"/>
    <x v="2"/>
    <x v="4"/>
    <x v="9"/>
    <n v="723.17"/>
    <n v="0"/>
    <x v="106"/>
    <n v="429.2"/>
    <x v="105"/>
    <n v="0.40650192900701088"/>
  </r>
  <r>
    <s v="SO-10108"/>
    <x v="89"/>
    <x v="1"/>
    <x v="0"/>
    <x v="4"/>
    <x v="5"/>
    <n v="631.75"/>
    <n v="0"/>
    <x v="107"/>
    <n v="636.05999999999995"/>
    <x v="106"/>
    <n v="0.49658884052235858"/>
  </r>
  <r>
    <s v="SO-10109"/>
    <x v="94"/>
    <x v="3"/>
    <x v="0"/>
    <x v="5"/>
    <x v="5"/>
    <n v="571.94000000000005"/>
    <n v="0"/>
    <x v="108"/>
    <n v="583.70000000000005"/>
    <x v="107"/>
    <n v="0.48971920131482316"/>
  </r>
  <r>
    <s v="SO-10110"/>
    <x v="95"/>
    <x v="0"/>
    <x v="2"/>
    <x v="5"/>
    <x v="5"/>
    <n v="384.38"/>
    <n v="0.05"/>
    <x v="109"/>
    <n v="435.7"/>
    <x v="108"/>
    <n v="0.40341220286997481"/>
  </r>
  <r>
    <s v="SO-10111"/>
    <x v="96"/>
    <x v="3"/>
    <x v="0"/>
    <x v="2"/>
    <x v="8"/>
    <n v="104.1"/>
    <n v="0"/>
    <x v="110"/>
    <n v="506.54"/>
    <x v="109"/>
    <n v="0.30489495135238981"/>
  </r>
  <r>
    <s v="SO-10112"/>
    <x v="18"/>
    <x v="0"/>
    <x v="0"/>
    <x v="0"/>
    <x v="1"/>
    <n v="741.95"/>
    <n v="0"/>
    <x v="111"/>
    <n v="3571.23"/>
    <x v="110"/>
    <n v="0.46518948481336053"/>
  </r>
  <r>
    <s v="SO-10113"/>
    <x v="97"/>
    <x v="3"/>
    <x v="2"/>
    <x v="6"/>
    <x v="8"/>
    <n v="572.45000000000005"/>
    <n v="0.05"/>
    <x v="112"/>
    <n v="2759.24"/>
    <x v="111"/>
    <n v="0.27517554252029935"/>
  </r>
  <r>
    <s v="SO-10114"/>
    <x v="34"/>
    <x v="3"/>
    <x v="0"/>
    <x v="2"/>
    <x v="10"/>
    <n v="822.99"/>
    <n v="0"/>
    <x v="113"/>
    <n v="5147"/>
    <x v="112"/>
    <n v="0.4314497644388231"/>
  </r>
  <r>
    <s v="SO-10115"/>
    <x v="51"/>
    <x v="2"/>
    <x v="2"/>
    <x v="4"/>
    <x v="3"/>
    <n v="249.35"/>
    <n v="0.05"/>
    <x v="114"/>
    <n v="711"/>
    <x v="113"/>
    <n v="0.49974318743095963"/>
  </r>
  <r>
    <s v="SO-10116"/>
    <x v="98"/>
    <x v="1"/>
    <x v="0"/>
    <x v="3"/>
    <x v="0"/>
    <n v="354.03"/>
    <n v="0"/>
    <x v="115"/>
    <n v="983.33"/>
    <x v="114"/>
    <n v="0.44448712806404045"/>
  </r>
  <r>
    <s v="SO-10117"/>
    <x v="99"/>
    <x v="1"/>
    <x v="0"/>
    <x v="1"/>
    <x v="7"/>
    <n v="489.53"/>
    <n v="0.05"/>
    <x v="116"/>
    <n v="1034.96"/>
    <x v="115"/>
    <n v="0.25817295631294124"/>
  </r>
  <r>
    <s v="SO-10118"/>
    <x v="100"/>
    <x v="2"/>
    <x v="1"/>
    <x v="6"/>
    <x v="8"/>
    <n v="780.67"/>
    <n v="0"/>
    <x v="117"/>
    <n v="3105.01"/>
    <x v="116"/>
    <n v="0.43180412465460133"/>
  </r>
  <r>
    <s v="SO-10119"/>
    <x v="33"/>
    <x v="2"/>
    <x v="1"/>
    <x v="4"/>
    <x v="6"/>
    <n v="596.02"/>
    <n v="0.05"/>
    <x v="118"/>
    <n v="1433.15"/>
    <x v="117"/>
    <n v="0.36722916887428914"/>
  </r>
  <r>
    <s v="SO-10120"/>
    <x v="101"/>
    <x v="2"/>
    <x v="1"/>
    <x v="5"/>
    <x v="1"/>
    <n v="694.79"/>
    <n v="0.05"/>
    <x v="119"/>
    <n v="2906.84"/>
    <x v="118"/>
    <n v="0.51067253824606762"/>
  </r>
  <r>
    <s v="SO-10121"/>
    <x v="18"/>
    <x v="0"/>
    <x v="0"/>
    <x v="3"/>
    <x v="3"/>
    <n v="700.11"/>
    <n v="0.05"/>
    <x v="120"/>
    <n v="2543.98"/>
    <x v="119"/>
    <n v="0.36251487852856051"/>
  </r>
  <r>
    <s v="SO-10122"/>
    <x v="83"/>
    <x v="3"/>
    <x v="0"/>
    <x v="7"/>
    <x v="10"/>
    <n v="747.17"/>
    <n v="0.05"/>
    <x v="121"/>
    <n v="4222.5200000000004"/>
    <x v="120"/>
    <n v="0.45920098976550705"/>
  </r>
  <r>
    <s v="SO-10123"/>
    <x v="27"/>
    <x v="2"/>
    <x v="0"/>
    <x v="3"/>
    <x v="8"/>
    <n v="77.599999999999994"/>
    <n v="0.1"/>
    <x v="122"/>
    <n v="227.61"/>
    <x v="121"/>
    <n v="0.53440657857055185"/>
  </r>
  <r>
    <s v="SO-10124"/>
    <x v="102"/>
    <x v="2"/>
    <x v="1"/>
    <x v="3"/>
    <x v="6"/>
    <n v="54.68"/>
    <n v="0.1"/>
    <x v="123"/>
    <n v="144.99"/>
    <x v="122"/>
    <n v="0.2634493268986538"/>
  </r>
  <r>
    <s v="SO-10125"/>
    <x v="24"/>
    <x v="3"/>
    <x v="2"/>
    <x v="5"/>
    <x v="4"/>
    <n v="787.77"/>
    <n v="0.05"/>
    <x v="124"/>
    <n v="5660.96"/>
    <x v="123"/>
    <n v="0.24357447991202363"/>
  </r>
  <r>
    <s v="SO-10126"/>
    <x v="103"/>
    <x v="1"/>
    <x v="0"/>
    <x v="5"/>
    <x v="7"/>
    <n v="530.87"/>
    <n v="0.05"/>
    <x v="125"/>
    <n v="805.66"/>
    <x v="124"/>
    <n v="0.4674946132797525"/>
  </r>
  <r>
    <s v="SO-10127"/>
    <x v="104"/>
    <x v="3"/>
    <x v="2"/>
    <x v="7"/>
    <x v="4"/>
    <n v="464.07"/>
    <n v="0.05"/>
    <x v="126"/>
    <n v="2649.91"/>
    <x v="125"/>
    <n v="0.3989375576982836"/>
  </r>
  <r>
    <s v="SO-10128"/>
    <x v="86"/>
    <x v="3"/>
    <x v="1"/>
    <x v="1"/>
    <x v="4"/>
    <n v="578.15"/>
    <n v="0.1"/>
    <x v="127"/>
    <n v="3175.99"/>
    <x v="126"/>
    <n v="0.3896223949324662"/>
  </r>
  <r>
    <s v="SO-10129"/>
    <x v="105"/>
    <x v="1"/>
    <x v="2"/>
    <x v="4"/>
    <x v="9"/>
    <n v="377.99"/>
    <n v="0.1"/>
    <x v="128"/>
    <n v="176.52"/>
    <x v="127"/>
    <n v="0.48111349539962961"/>
  </r>
  <r>
    <s v="SO-10130"/>
    <x v="106"/>
    <x v="0"/>
    <x v="1"/>
    <x v="7"/>
    <x v="1"/>
    <n v="55.44"/>
    <n v="0.1"/>
    <x v="129"/>
    <n v="348.78"/>
    <x v="128"/>
    <n v="0.22336280032955533"/>
  </r>
  <r>
    <s v="SO-10131"/>
    <x v="107"/>
    <x v="0"/>
    <x v="2"/>
    <x v="2"/>
    <x v="1"/>
    <n v="387.7"/>
    <n v="0.1"/>
    <x v="130"/>
    <n v="2330.7600000000002"/>
    <x v="129"/>
    <n v="0.25781511213575387"/>
  </r>
  <r>
    <s v="SO-10132"/>
    <x v="108"/>
    <x v="0"/>
    <x v="2"/>
    <x v="5"/>
    <x v="4"/>
    <n v="821.14"/>
    <n v="0"/>
    <x v="131"/>
    <n v="6044.56"/>
    <x v="130"/>
    <n v="0.26387980597682004"/>
  </r>
  <r>
    <s v="SO-10133"/>
    <x v="59"/>
    <x v="1"/>
    <x v="0"/>
    <x v="7"/>
    <x v="8"/>
    <n v="290.75"/>
    <n v="0.2"/>
    <x v="132"/>
    <n v="908.79"/>
    <x v="131"/>
    <n v="0.44183075581323933"/>
  </r>
  <r>
    <s v="SO-10134"/>
    <x v="62"/>
    <x v="3"/>
    <x v="1"/>
    <x v="5"/>
    <x v="9"/>
    <n v="209.69"/>
    <n v="0.05"/>
    <x v="133"/>
    <n v="145.54"/>
    <x v="132"/>
    <n v="0.26941418603483763"/>
  </r>
  <r>
    <s v="SO-10135"/>
    <x v="109"/>
    <x v="0"/>
    <x v="2"/>
    <x v="7"/>
    <x v="10"/>
    <n v="190.55"/>
    <n v="0.1"/>
    <x v="134"/>
    <n v="1005.51"/>
    <x v="133"/>
    <n v="0.46697165515449979"/>
  </r>
  <r>
    <s v="SO-10136"/>
    <x v="12"/>
    <x v="1"/>
    <x v="2"/>
    <x v="3"/>
    <x v="4"/>
    <n v="814.22"/>
    <n v="0.05"/>
    <x v="135"/>
    <n v="5332.96"/>
    <x v="134"/>
    <n v="0.31054615031577043"/>
  </r>
  <r>
    <s v="SO-10137"/>
    <x v="110"/>
    <x v="0"/>
    <x v="1"/>
    <x v="0"/>
    <x v="9"/>
    <n v="213.88"/>
    <n v="0.05"/>
    <x v="136"/>
    <n v="161.4"/>
    <x v="135"/>
    <n v="0.20563047544049612"/>
  </r>
  <r>
    <s v="SO-10138"/>
    <x v="62"/>
    <x v="2"/>
    <x v="2"/>
    <x v="1"/>
    <x v="3"/>
    <n v="662.95"/>
    <n v="0.15"/>
    <x v="137"/>
    <n v="2053.12"/>
    <x v="136"/>
    <n v="0.39275489198589786"/>
  </r>
  <r>
    <s v="SO-10139"/>
    <x v="111"/>
    <x v="1"/>
    <x v="1"/>
    <x v="3"/>
    <x v="9"/>
    <n v="500.7"/>
    <n v="0"/>
    <x v="138"/>
    <n v="246.71"/>
    <x v="137"/>
    <n v="0.50728979428799681"/>
  </r>
  <r>
    <s v="SO-10140"/>
    <x v="112"/>
    <x v="1"/>
    <x v="2"/>
    <x v="3"/>
    <x v="3"/>
    <n v="421.32"/>
    <n v="0.05"/>
    <x v="139"/>
    <n v="1343.85"/>
    <x v="138"/>
    <n v="0.44041640641265878"/>
  </r>
  <r>
    <s v="SO-10141"/>
    <x v="113"/>
    <x v="3"/>
    <x v="2"/>
    <x v="7"/>
    <x v="1"/>
    <n v="174.91"/>
    <n v="0.05"/>
    <x v="140"/>
    <n v="1010.1"/>
    <x v="139"/>
    <n v="0.32456920474225837"/>
  </r>
  <r>
    <s v="SO-10142"/>
    <x v="114"/>
    <x v="1"/>
    <x v="0"/>
    <x v="5"/>
    <x v="2"/>
    <n v="645.09"/>
    <n v="0.05"/>
    <x v="141"/>
    <n v="3831.45"/>
    <x v="140"/>
    <n v="0.21849407973238966"/>
  </r>
  <r>
    <s v="SO-10143"/>
    <x v="115"/>
    <x v="1"/>
    <x v="1"/>
    <x v="4"/>
    <x v="9"/>
    <n v="569.79"/>
    <n v="0.15"/>
    <x v="142"/>
    <n v="312.64"/>
    <x v="141"/>
    <n v="0.35447637925338621"/>
  </r>
  <r>
    <s v="SO-10144"/>
    <x v="62"/>
    <x v="1"/>
    <x v="0"/>
    <x v="3"/>
    <x v="10"/>
    <n v="416.29"/>
    <n v="0.05"/>
    <x v="143"/>
    <n v="3189.93"/>
    <x v="142"/>
    <n v="0.26672428774372103"/>
  </r>
  <r>
    <s v="SO-10145"/>
    <x v="116"/>
    <x v="2"/>
    <x v="1"/>
    <x v="7"/>
    <x v="1"/>
    <n v="543.04"/>
    <n v="0.05"/>
    <x v="144"/>
    <n v="3580.48"/>
    <x v="143"/>
    <n v="0.22884391308187182"/>
  </r>
  <r>
    <s v="SO-10146"/>
    <x v="6"/>
    <x v="2"/>
    <x v="0"/>
    <x v="7"/>
    <x v="8"/>
    <n v="327.57"/>
    <n v="0.1"/>
    <x v="145"/>
    <n v="1194.76"/>
    <x v="144"/>
    <n v="0.42106487314170532"/>
  </r>
  <r>
    <s v="SO-10147"/>
    <x v="72"/>
    <x v="2"/>
    <x v="2"/>
    <x v="1"/>
    <x v="3"/>
    <n v="699.96"/>
    <n v="0.15"/>
    <x v="146"/>
    <n v="2005.43"/>
    <x v="145"/>
    <n v="0.43822342988402707"/>
  </r>
  <r>
    <s v="SO-10148"/>
    <x v="117"/>
    <x v="2"/>
    <x v="0"/>
    <x v="4"/>
    <x v="6"/>
    <n v="66.569999999999993"/>
    <n v="0.1"/>
    <x v="147"/>
    <n v="176.15"/>
    <x v="146"/>
    <n v="0.26500041725778184"/>
  </r>
  <r>
    <s v="SO-10149"/>
    <x v="118"/>
    <x v="2"/>
    <x v="1"/>
    <x v="6"/>
    <x v="2"/>
    <n v="180.25"/>
    <n v="0"/>
    <x v="148"/>
    <n v="948.06"/>
    <x v="147"/>
    <n v="0.3425427008134479"/>
  </r>
  <r>
    <s v="SO-10150"/>
    <x v="119"/>
    <x v="1"/>
    <x v="0"/>
    <x v="7"/>
    <x v="3"/>
    <n v="892.06"/>
    <n v="0"/>
    <x v="149"/>
    <n v="3241.47"/>
    <x v="148"/>
    <n v="0.39438830130091418"/>
  </r>
  <r>
    <s v="SO-10151"/>
    <x v="1"/>
    <x v="1"/>
    <x v="1"/>
    <x v="2"/>
    <x v="10"/>
    <n v="412.43"/>
    <n v="0.05"/>
    <x v="150"/>
    <n v="2710.68"/>
    <x v="149"/>
    <n v="0.37105879241097844"/>
  </r>
  <r>
    <s v="SO-10152"/>
    <x v="65"/>
    <x v="3"/>
    <x v="0"/>
    <x v="1"/>
    <x v="9"/>
    <n v="376.82"/>
    <n v="0"/>
    <x v="151"/>
    <n v="232.32"/>
    <x v="150"/>
    <n v="0.3834722148505918"/>
  </r>
  <r>
    <s v="SO-10153"/>
    <x v="120"/>
    <x v="2"/>
    <x v="0"/>
    <x v="3"/>
    <x v="2"/>
    <n v="696.09"/>
    <n v="0"/>
    <x v="152"/>
    <n v="2581.2600000000002"/>
    <x v="151"/>
    <n v="0.53647407407407399"/>
  </r>
  <r>
    <s v="SO-10154"/>
    <x v="121"/>
    <x v="0"/>
    <x v="1"/>
    <x v="6"/>
    <x v="9"/>
    <n v="581.6"/>
    <n v="0.05"/>
    <x v="153"/>
    <n v="342.38"/>
    <x v="152"/>
    <n v="0.38034822268877144"/>
  </r>
  <r>
    <s v="SO-10155"/>
    <x v="122"/>
    <x v="0"/>
    <x v="0"/>
    <x v="2"/>
    <x v="10"/>
    <n v="164.01"/>
    <n v="0.05"/>
    <x v="154"/>
    <n v="876.82"/>
    <x v="153"/>
    <n v="0.48840357315813732"/>
  </r>
  <r>
    <s v="SO-10156"/>
    <x v="123"/>
    <x v="0"/>
    <x v="1"/>
    <x v="0"/>
    <x v="6"/>
    <n v="383.35"/>
    <n v="0.2"/>
    <x v="155"/>
    <n v="895.99"/>
    <x v="154"/>
    <n v="0.26960732365432744"/>
  </r>
  <r>
    <s v="SO-10157"/>
    <x v="124"/>
    <x v="1"/>
    <x v="1"/>
    <x v="4"/>
    <x v="8"/>
    <n v="380.68"/>
    <n v="0.15"/>
    <x v="156"/>
    <n v="1168.3900000000001"/>
    <x v="155"/>
    <n v="0.4841590802730219"/>
  </r>
  <r>
    <s v="SO-10158"/>
    <x v="125"/>
    <x v="0"/>
    <x v="1"/>
    <x v="6"/>
    <x v="10"/>
    <n v="426.18"/>
    <n v="0.1"/>
    <x v="157"/>
    <n v="3024.73"/>
    <x v="156"/>
    <n v="0.28310343193022375"/>
  </r>
  <r>
    <s v="SO-10159"/>
    <x v="126"/>
    <x v="2"/>
    <x v="0"/>
    <x v="2"/>
    <x v="8"/>
    <n v="698.92"/>
    <n v="0"/>
    <x v="158"/>
    <n v="3130.59"/>
    <x v="157"/>
    <n v="0.36011756938780931"/>
  </r>
  <r>
    <s v="SO-10160"/>
    <x v="127"/>
    <x v="0"/>
    <x v="0"/>
    <x v="3"/>
    <x v="0"/>
    <n v="811.38"/>
    <n v="0"/>
    <x v="159"/>
    <n v="3054.54"/>
    <x v="158"/>
    <n v="0.2470778180384037"/>
  </r>
  <r>
    <s v="SO-10161"/>
    <x v="76"/>
    <x v="3"/>
    <x v="0"/>
    <x v="7"/>
    <x v="0"/>
    <n v="806.81"/>
    <n v="0.2"/>
    <x v="160"/>
    <n v="1567.2"/>
    <x v="159"/>
    <n v="0.51438531257262377"/>
  </r>
  <r>
    <s v="SO-10162"/>
    <x v="0"/>
    <x v="0"/>
    <x v="1"/>
    <x v="0"/>
    <x v="10"/>
    <n v="85.83"/>
    <n v="0.1"/>
    <x v="161"/>
    <n v="480.1"/>
    <x v="160"/>
    <n v="0.43496528186418731"/>
  </r>
  <r>
    <s v="SO-10163"/>
    <x v="114"/>
    <x v="1"/>
    <x v="2"/>
    <x v="6"/>
    <x v="1"/>
    <n v="291.16000000000003"/>
    <n v="0.1"/>
    <x v="162"/>
    <n v="1860.17"/>
    <x v="161"/>
    <n v="0.21125339213025782"/>
  </r>
  <r>
    <s v="SO-10164"/>
    <x v="29"/>
    <x v="3"/>
    <x v="1"/>
    <x v="6"/>
    <x v="6"/>
    <n v="89.15"/>
    <n v="0.05"/>
    <x v="163"/>
    <n v="197.71"/>
    <x v="162"/>
    <n v="0.4163887002981374"/>
  </r>
  <r>
    <s v="SO-10165"/>
    <x v="102"/>
    <x v="0"/>
    <x v="0"/>
    <x v="1"/>
    <x v="10"/>
    <n v="126.58"/>
    <n v="0.1"/>
    <x v="164"/>
    <n v="809.75"/>
    <x v="163"/>
    <n v="0.35383068538187157"/>
  </r>
  <r>
    <s v="SO-10166"/>
    <x v="128"/>
    <x v="2"/>
    <x v="1"/>
    <x v="2"/>
    <x v="5"/>
    <n v="468.68"/>
    <n v="0"/>
    <x v="165"/>
    <n v="678.6"/>
    <x v="164"/>
    <n v="0.27605189041563538"/>
  </r>
  <r>
    <s v="SO-10167"/>
    <x v="129"/>
    <x v="3"/>
    <x v="0"/>
    <x v="4"/>
    <x v="6"/>
    <n v="237.48"/>
    <n v="0.05"/>
    <x v="166"/>
    <n v="706.18"/>
    <x v="165"/>
    <n v="0.21745971942111214"/>
  </r>
  <r>
    <s v="SO-10168"/>
    <x v="130"/>
    <x v="3"/>
    <x v="1"/>
    <x v="1"/>
    <x v="1"/>
    <n v="523.66"/>
    <n v="0"/>
    <x v="167"/>
    <n v="3116.44"/>
    <x v="166"/>
    <n v="0.33875382454413133"/>
  </r>
  <r>
    <s v="SO-10169"/>
    <x v="131"/>
    <x v="3"/>
    <x v="0"/>
    <x v="4"/>
    <x v="2"/>
    <n v="765.42"/>
    <n v="0"/>
    <x v="168"/>
    <n v="3031.49"/>
    <x v="167"/>
    <n v="0.50493110819695697"/>
  </r>
  <r>
    <s v="SO-10170"/>
    <x v="132"/>
    <x v="2"/>
    <x v="0"/>
    <x v="4"/>
    <x v="1"/>
    <n v="619.25"/>
    <n v="0"/>
    <x v="169"/>
    <n v="2832.33"/>
    <x v="168"/>
    <n v="0.49180195504263197"/>
  </r>
  <r>
    <s v="SO-10171"/>
    <x v="89"/>
    <x v="0"/>
    <x v="1"/>
    <x v="5"/>
    <x v="4"/>
    <n v="405.75"/>
    <n v="0.05"/>
    <x v="170"/>
    <n v="2471.4299999999998"/>
    <x v="169"/>
    <n v="0.35883453233677254"/>
  </r>
  <r>
    <s v="SO-10172"/>
    <x v="20"/>
    <x v="2"/>
    <x v="2"/>
    <x v="1"/>
    <x v="7"/>
    <n v="282.38"/>
    <n v="0.05"/>
    <x v="171"/>
    <n v="620.25"/>
    <x v="170"/>
    <n v="0.22930205395196263"/>
  </r>
  <r>
    <s v="SO-10173"/>
    <x v="88"/>
    <x v="2"/>
    <x v="0"/>
    <x v="5"/>
    <x v="5"/>
    <n v="35.69"/>
    <n v="0.1"/>
    <x v="172"/>
    <n v="37.25"/>
    <x v="171"/>
    <n v="0.42014321295143214"/>
  </r>
  <r>
    <s v="SO-10174"/>
    <x v="133"/>
    <x v="2"/>
    <x v="0"/>
    <x v="2"/>
    <x v="10"/>
    <n v="687.25"/>
    <n v="0.05"/>
    <x v="173"/>
    <n v="3786.72"/>
    <x v="172"/>
    <n v="0.47273238667851147"/>
  </r>
  <r>
    <s v="SO-10175"/>
    <x v="134"/>
    <x v="1"/>
    <x v="1"/>
    <x v="7"/>
    <x v="5"/>
    <n v="359.69"/>
    <n v="0"/>
    <x v="174"/>
    <n v="481.22"/>
    <x v="173"/>
    <n v="0.33106285968472854"/>
  </r>
  <r>
    <s v="SO-10176"/>
    <x v="135"/>
    <x v="2"/>
    <x v="2"/>
    <x v="4"/>
    <x v="0"/>
    <n v="522.08000000000004"/>
    <n v="0.1"/>
    <x v="175"/>
    <n v="1515.96"/>
    <x v="174"/>
    <n v="0.35474039959478665"/>
  </r>
  <r>
    <s v="SO-10177"/>
    <x v="136"/>
    <x v="0"/>
    <x v="0"/>
    <x v="5"/>
    <x v="3"/>
    <n v="681.83"/>
    <n v="0.05"/>
    <x v="176"/>
    <n v="3069.25"/>
    <x v="175"/>
    <n v="0.21026697954940771"/>
  </r>
  <r>
    <s v="SO-10178"/>
    <x v="97"/>
    <x v="0"/>
    <x v="2"/>
    <x v="3"/>
    <x v="4"/>
    <n v="154.15"/>
    <n v="0.05"/>
    <x v="177"/>
    <n v="902.23"/>
    <x v="176"/>
    <n v="0.38388680611039405"/>
  </r>
  <r>
    <s v="SO-10179"/>
    <x v="137"/>
    <x v="1"/>
    <x v="0"/>
    <x v="5"/>
    <x v="9"/>
    <n v="339.3"/>
    <n v="0.05"/>
    <x v="178"/>
    <n v="255.82"/>
    <x v="177"/>
    <n v="0.20636594899795246"/>
  </r>
  <r>
    <s v="SO-10180"/>
    <x v="138"/>
    <x v="3"/>
    <x v="2"/>
    <x v="3"/>
    <x v="3"/>
    <n v="148.66"/>
    <n v="0.05"/>
    <x v="179"/>
    <n v="488.09"/>
    <x v="178"/>
    <n v="0.42400103849512616"/>
  </r>
  <r>
    <s v="SO-10181"/>
    <x v="139"/>
    <x v="3"/>
    <x v="1"/>
    <x v="7"/>
    <x v="2"/>
    <n v="246.37"/>
    <n v="0.1"/>
    <x v="180"/>
    <n v="1037.77"/>
    <x v="179"/>
    <n v="0.41497829640904221"/>
  </r>
  <r>
    <s v="SO-10182"/>
    <x v="140"/>
    <x v="1"/>
    <x v="1"/>
    <x v="5"/>
    <x v="10"/>
    <n v="343.68"/>
    <n v="0"/>
    <x v="181"/>
    <n v="2724.6"/>
    <x v="180"/>
    <n v="0.27930167967200109"/>
  </r>
  <r>
    <s v="SO-10183"/>
    <x v="141"/>
    <x v="3"/>
    <x v="2"/>
    <x v="6"/>
    <x v="9"/>
    <n v="333.29"/>
    <n v="0"/>
    <x v="182"/>
    <n v="225.83"/>
    <x v="181"/>
    <n v="0.32245191874943741"/>
  </r>
  <r>
    <s v="SO-10184"/>
    <x v="61"/>
    <x v="0"/>
    <x v="2"/>
    <x v="5"/>
    <x v="5"/>
    <n v="318.63"/>
    <n v="0"/>
    <x v="183"/>
    <n v="301.24"/>
    <x v="182"/>
    <n v="0.52728870476728495"/>
  </r>
  <r>
    <s v="SO-10185"/>
    <x v="142"/>
    <x v="1"/>
    <x v="0"/>
    <x v="6"/>
    <x v="6"/>
    <n v="125.32"/>
    <n v="0"/>
    <x v="184"/>
    <n v="358.51"/>
    <x v="183"/>
    <n v="0.28478234848182582"/>
  </r>
  <r>
    <s v="SO-10186"/>
    <x v="143"/>
    <x v="0"/>
    <x v="1"/>
    <x v="2"/>
    <x v="0"/>
    <n v="312.19"/>
    <n v="0.1"/>
    <x v="185"/>
    <n v="905.57"/>
    <x v="184"/>
    <n v="0.35540196176131433"/>
  </r>
  <r>
    <s v="SO-10187"/>
    <x v="144"/>
    <x v="1"/>
    <x v="0"/>
    <x v="6"/>
    <x v="5"/>
    <n v="811.31"/>
    <n v="0.15"/>
    <x v="186"/>
    <n v="997.87"/>
    <x v="185"/>
    <n v="0.27650210624768895"/>
  </r>
  <r>
    <s v="SO-10188"/>
    <x v="145"/>
    <x v="1"/>
    <x v="0"/>
    <x v="1"/>
    <x v="7"/>
    <n v="694.83"/>
    <n v="0"/>
    <x v="187"/>
    <n v="1598.55"/>
    <x v="186"/>
    <n v="0.23312544974814103"/>
  </r>
  <r>
    <s v="SO-10189"/>
    <x v="146"/>
    <x v="0"/>
    <x v="0"/>
    <x v="6"/>
    <x v="9"/>
    <n v="610.22"/>
    <n v="0.1"/>
    <x v="188"/>
    <n v="433.85"/>
    <x v="187"/>
    <n v="0.21003277494537506"/>
  </r>
  <r>
    <s v="SO-10190"/>
    <x v="30"/>
    <x v="2"/>
    <x v="0"/>
    <x v="3"/>
    <x v="8"/>
    <n v="486.87"/>
    <n v="0.2"/>
    <x v="189"/>
    <n v="1929.09"/>
    <x v="188"/>
    <n v="0.29246393714996205"/>
  </r>
  <r>
    <s v="SO-10191"/>
    <x v="147"/>
    <x v="2"/>
    <x v="0"/>
    <x v="5"/>
    <x v="9"/>
    <n v="729.71"/>
    <n v="0"/>
    <x v="190"/>
    <n v="381.14"/>
    <x v="189"/>
    <n v="0.4776829151306683"/>
  </r>
  <r>
    <s v="SO-10192"/>
    <x v="148"/>
    <x v="0"/>
    <x v="2"/>
    <x v="1"/>
    <x v="5"/>
    <n v="842.49"/>
    <n v="0.15"/>
    <x v="191"/>
    <n v="1086.23"/>
    <x v="190"/>
    <n v="0.24157432814561908"/>
  </r>
  <r>
    <s v="SO-10193"/>
    <x v="149"/>
    <x v="0"/>
    <x v="1"/>
    <x v="1"/>
    <x v="4"/>
    <n v="581.79"/>
    <n v="0.15"/>
    <x v="192"/>
    <n v="3345.04"/>
    <x v="191"/>
    <n v="0.32357502947308397"/>
  </r>
  <r>
    <s v="SO-10194"/>
    <x v="81"/>
    <x v="0"/>
    <x v="0"/>
    <x v="6"/>
    <x v="6"/>
    <n v="270.75"/>
    <n v="0.2"/>
    <x v="193"/>
    <n v="391.96"/>
    <x v="192"/>
    <n v="0.54760970430045475"/>
  </r>
  <r>
    <s v="SO-10195"/>
    <x v="150"/>
    <x v="3"/>
    <x v="0"/>
    <x v="6"/>
    <x v="6"/>
    <n v="30.78"/>
    <n v="0"/>
    <x v="194"/>
    <n v="55.5"/>
    <x v="193"/>
    <n v="0.5492202729044835"/>
  </r>
  <r>
    <s v="SO-10196"/>
    <x v="151"/>
    <x v="0"/>
    <x v="0"/>
    <x v="6"/>
    <x v="3"/>
    <n v="694.31"/>
    <n v="0.05"/>
    <x v="195"/>
    <n v="3107.47"/>
    <x v="194"/>
    <n v="0.21480208714987808"/>
  </r>
  <r>
    <s v="SO-10197"/>
    <x v="152"/>
    <x v="3"/>
    <x v="0"/>
    <x v="2"/>
    <x v="6"/>
    <n v="262.38"/>
    <n v="0.05"/>
    <x v="196"/>
    <n v="692.15"/>
    <x v="195"/>
    <n v="0.30578819092705334"/>
  </r>
  <r>
    <s v="SO-10198"/>
    <x v="35"/>
    <x v="2"/>
    <x v="2"/>
    <x v="1"/>
    <x v="0"/>
    <n v="526.58000000000004"/>
    <n v="0.1"/>
    <x v="197"/>
    <n v="1671.39"/>
    <x v="196"/>
    <n v="0.29465434948662006"/>
  </r>
  <r>
    <s v="SO-10199"/>
    <x v="98"/>
    <x v="3"/>
    <x v="1"/>
    <x v="7"/>
    <x v="5"/>
    <n v="600.12"/>
    <n v="0.05"/>
    <x v="198"/>
    <n v="878.24"/>
    <x v="197"/>
    <n v="0.22976943248292012"/>
  </r>
  <r>
    <s v="SO-10200"/>
    <x v="44"/>
    <x v="1"/>
    <x v="0"/>
    <x v="6"/>
    <x v="7"/>
    <n v="822.23"/>
    <n v="0.2"/>
    <x v="199"/>
    <n v="1434.12"/>
    <x v="198"/>
    <n v="0.27325475331414445"/>
  </r>
  <r>
    <s v="SO-10201"/>
    <x v="100"/>
    <x v="0"/>
    <x v="0"/>
    <x v="3"/>
    <x v="7"/>
    <n v="682.9"/>
    <n v="0.1"/>
    <x v="200"/>
    <n v="1333.27"/>
    <x v="199"/>
    <n v="0.2769018835792888"/>
  </r>
  <r>
    <s v="SO-10202"/>
    <x v="153"/>
    <x v="2"/>
    <x v="0"/>
    <x v="0"/>
    <x v="6"/>
    <n v="804.52"/>
    <n v="0"/>
    <x v="201"/>
    <n v="1658.38"/>
    <x v="200"/>
    <n v="0.48466778120979725"/>
  </r>
  <r>
    <s v="SO-10203"/>
    <x v="136"/>
    <x v="1"/>
    <x v="0"/>
    <x v="3"/>
    <x v="10"/>
    <n v="252.33"/>
    <n v="0.15"/>
    <x v="202"/>
    <n v="1218.7"/>
    <x v="201"/>
    <n v="0.48343958223834799"/>
  </r>
  <r>
    <s v="SO-10204"/>
    <x v="154"/>
    <x v="3"/>
    <x v="0"/>
    <x v="2"/>
    <x v="6"/>
    <n v="482.35"/>
    <n v="0"/>
    <x v="203"/>
    <n v="1480.61"/>
    <x v="202"/>
    <n v="0.23260201410808595"/>
  </r>
  <r>
    <s v="SO-10205"/>
    <x v="155"/>
    <x v="3"/>
    <x v="2"/>
    <x v="6"/>
    <x v="6"/>
    <n v="854.56"/>
    <n v="0"/>
    <x v="204"/>
    <n v="1712.63"/>
    <x v="203"/>
    <n v="0.49897169002670971"/>
  </r>
  <r>
    <s v="SO-10206"/>
    <x v="131"/>
    <x v="0"/>
    <x v="1"/>
    <x v="4"/>
    <x v="7"/>
    <n v="480.53"/>
    <n v="0"/>
    <x v="205"/>
    <n v="811"/>
    <x v="204"/>
    <n v="0.43743366699269559"/>
  </r>
  <r>
    <s v="SO-10207"/>
    <x v="156"/>
    <x v="1"/>
    <x v="2"/>
    <x v="6"/>
    <x v="5"/>
    <n v="888.18"/>
    <n v="0.05"/>
    <x v="206"/>
    <n v="885.97"/>
    <x v="205"/>
    <n v="0.47499318534671775"/>
  </r>
  <r>
    <s v="SO-10208"/>
    <x v="157"/>
    <x v="3"/>
    <x v="0"/>
    <x v="1"/>
    <x v="9"/>
    <n v="245.45"/>
    <n v="0.1"/>
    <x v="207"/>
    <n v="140.19999999999999"/>
    <x v="206"/>
    <n v="0.36535240595717711"/>
  </r>
  <r>
    <s v="SO-10209"/>
    <x v="35"/>
    <x v="2"/>
    <x v="1"/>
    <x v="4"/>
    <x v="2"/>
    <n v="683.47"/>
    <n v="0.15"/>
    <x v="208"/>
    <n v="2232.34"/>
    <x v="207"/>
    <n v="0.5196800075737853"/>
  </r>
  <r>
    <s v="SO-10210"/>
    <x v="63"/>
    <x v="2"/>
    <x v="1"/>
    <x v="5"/>
    <x v="4"/>
    <n v="245.29"/>
    <n v="0.1"/>
    <x v="209"/>
    <n v="1010.18"/>
    <x v="208"/>
    <n v="0.54240804493567685"/>
  </r>
  <r>
    <s v="SO-10211"/>
    <x v="158"/>
    <x v="0"/>
    <x v="2"/>
    <x v="0"/>
    <x v="4"/>
    <n v="487.21"/>
    <n v="0.1"/>
    <x v="210"/>
    <n v="2165.1999999999998"/>
    <x v="209"/>
    <n v="0.50620997609968799"/>
  </r>
  <r>
    <s v="SO-10212"/>
    <x v="159"/>
    <x v="2"/>
    <x v="2"/>
    <x v="0"/>
    <x v="10"/>
    <n v="780.78"/>
    <n v="0"/>
    <x v="211"/>
    <n v="5344.53"/>
    <x v="210"/>
    <n v="0.37771407546783164"/>
  </r>
  <r>
    <s v="SO-10213"/>
    <x v="160"/>
    <x v="2"/>
    <x v="0"/>
    <x v="3"/>
    <x v="10"/>
    <n v="25.29"/>
    <n v="0.05"/>
    <x v="212"/>
    <n v="138.58000000000001"/>
    <x v="211"/>
    <n v="0.47569142295032352"/>
  </r>
  <r>
    <s v="SO-10214"/>
    <x v="41"/>
    <x v="3"/>
    <x v="2"/>
    <x v="3"/>
    <x v="3"/>
    <n v="384.4"/>
    <n v="0.2"/>
    <x v="213"/>
    <n v="943.43"/>
    <x v="212"/>
    <n v="0.48869173111630204"/>
  </r>
  <r>
    <s v="SO-10215"/>
    <x v="84"/>
    <x v="3"/>
    <x v="1"/>
    <x v="1"/>
    <x v="10"/>
    <n v="204.33"/>
    <n v="0.05"/>
    <x v="214"/>
    <n v="1392.6"/>
    <x v="213"/>
    <n v="0.34778943424503561"/>
  </r>
  <r>
    <s v="SO-10216"/>
    <x v="103"/>
    <x v="0"/>
    <x v="1"/>
    <x v="4"/>
    <x v="4"/>
    <n v="873.52"/>
    <n v="0.15"/>
    <x v="215"/>
    <n v="4025.81"/>
    <x v="214"/>
    <n v="0.45779679484330449"/>
  </r>
  <r>
    <s v="SO-10217"/>
    <x v="109"/>
    <x v="1"/>
    <x v="0"/>
    <x v="6"/>
    <x v="4"/>
    <n v="225.94"/>
    <n v="0.1"/>
    <x v="216"/>
    <n v="934.73"/>
    <x v="215"/>
    <n v="0.54033213834343907"/>
  </r>
  <r>
    <s v="SO-10218"/>
    <x v="104"/>
    <x v="0"/>
    <x v="1"/>
    <x v="7"/>
    <x v="8"/>
    <n v="785.55"/>
    <n v="0"/>
    <x v="217"/>
    <n v="3544.46"/>
    <x v="216"/>
    <n v="0.35542146764432031"/>
  </r>
  <r>
    <s v="SO-10219"/>
    <x v="151"/>
    <x v="2"/>
    <x v="2"/>
    <x v="1"/>
    <x v="3"/>
    <n v="870.94"/>
    <n v="0"/>
    <x v="218"/>
    <n v="3791.89"/>
    <x v="217"/>
    <n v="0.27436691843854233"/>
  </r>
  <r>
    <s v="SO-10220"/>
    <x v="64"/>
    <x v="1"/>
    <x v="0"/>
    <x v="0"/>
    <x v="2"/>
    <n v="544.45000000000005"/>
    <n v="0"/>
    <x v="219"/>
    <n v="2294.09"/>
    <x v="218"/>
    <n v="0.47330466545597305"/>
  </r>
  <r>
    <s v="SO-10221"/>
    <x v="161"/>
    <x v="0"/>
    <x v="1"/>
    <x v="6"/>
    <x v="1"/>
    <n v="756.98"/>
    <n v="0.05"/>
    <x v="220"/>
    <n v="3156.73"/>
    <x v="219"/>
    <n v="0.51225941222186677"/>
  </r>
  <r>
    <s v="SO-10222"/>
    <x v="162"/>
    <x v="0"/>
    <x v="2"/>
    <x v="2"/>
    <x v="10"/>
    <n v="731.39"/>
    <n v="0.1"/>
    <x v="221"/>
    <n v="5562.07"/>
    <x v="220"/>
    <n v="0.23183924317232332"/>
  </r>
  <r>
    <s v="SO-10223"/>
    <x v="163"/>
    <x v="2"/>
    <x v="1"/>
    <x v="0"/>
    <x v="1"/>
    <n v="203.84"/>
    <n v="0"/>
    <x v="222"/>
    <n v="929.31"/>
    <x v="221"/>
    <n v="0.49344533051341732"/>
  </r>
  <r>
    <s v="SO-10224"/>
    <x v="123"/>
    <x v="2"/>
    <x v="2"/>
    <x v="0"/>
    <x v="6"/>
    <n v="612.72"/>
    <n v="0.15"/>
    <x v="223"/>
    <n v="1255.44"/>
    <x v="222"/>
    <n v="0.39736278717010831"/>
  </r>
  <r>
    <s v="SO-10225"/>
    <x v="164"/>
    <x v="3"/>
    <x v="2"/>
    <x v="5"/>
    <x v="7"/>
    <n v="477.64"/>
    <n v="0"/>
    <x v="224"/>
    <n v="900.25"/>
    <x v="223"/>
    <n v="0.3717374312592468"/>
  </r>
  <r>
    <s v="SO-10226"/>
    <x v="49"/>
    <x v="2"/>
    <x v="0"/>
    <x v="4"/>
    <x v="5"/>
    <n v="859.15"/>
    <n v="0.15"/>
    <x v="225"/>
    <n v="1098.44"/>
    <x v="224"/>
    <n v="0.24792715073088906"/>
  </r>
  <r>
    <s v="SO-10227"/>
    <x v="165"/>
    <x v="0"/>
    <x v="2"/>
    <x v="3"/>
    <x v="1"/>
    <n v="384.67"/>
    <n v="0.05"/>
    <x v="226"/>
    <n v="1815.77"/>
    <x v="225"/>
    <n v="0.44790963544042084"/>
  </r>
  <r>
    <s v="SO-10228"/>
    <x v="103"/>
    <x v="2"/>
    <x v="0"/>
    <x v="0"/>
    <x v="5"/>
    <n v="641"/>
    <n v="0.05"/>
    <x v="227"/>
    <n v="956.93"/>
    <x v="226"/>
    <n v="0.21427867641021431"/>
  </r>
  <r>
    <s v="SO-10229"/>
    <x v="147"/>
    <x v="1"/>
    <x v="0"/>
    <x v="5"/>
    <x v="4"/>
    <n v="73.11"/>
    <n v="0.1"/>
    <x v="228"/>
    <n v="436.65"/>
    <x v="227"/>
    <n v="0.3364031488404608"/>
  </r>
  <r>
    <s v="SO-10230"/>
    <x v="63"/>
    <x v="0"/>
    <x v="2"/>
    <x v="1"/>
    <x v="0"/>
    <n v="258.64999999999998"/>
    <n v="0"/>
    <x v="229"/>
    <n v="899.12"/>
    <x v="228"/>
    <n v="0.30474857527276666"/>
  </r>
  <r>
    <s v="SO-10231"/>
    <x v="109"/>
    <x v="2"/>
    <x v="0"/>
    <x v="1"/>
    <x v="2"/>
    <n v="183.49"/>
    <n v="0.15"/>
    <x v="230"/>
    <n v="802.31"/>
    <x v="229"/>
    <n v="0.3569791299329978"/>
  </r>
  <r>
    <s v="SO-10232"/>
    <x v="35"/>
    <x v="1"/>
    <x v="2"/>
    <x v="7"/>
    <x v="1"/>
    <n v="486.9"/>
    <n v="0.15"/>
    <x v="231"/>
    <n v="1721.76"/>
    <x v="230"/>
    <n v="0.53776041666666663"/>
  </r>
  <r>
    <s v="SO-10233"/>
    <x v="166"/>
    <x v="1"/>
    <x v="0"/>
    <x v="3"/>
    <x v="1"/>
    <n v="734.16"/>
    <n v="0.15"/>
    <x v="232"/>
    <n v="4061.38"/>
    <x v="231"/>
    <n v="0.27685971750134875"/>
  </r>
  <r>
    <s v="SO-10234"/>
    <x v="117"/>
    <x v="1"/>
    <x v="2"/>
    <x v="4"/>
    <x v="3"/>
    <n v="248.41"/>
    <n v="0.05"/>
    <x v="233"/>
    <n v="1012.49"/>
    <x v="232"/>
    <n v="0.28493640222327371"/>
  </r>
  <r>
    <s v="SO-10235"/>
    <x v="167"/>
    <x v="1"/>
    <x v="2"/>
    <x v="2"/>
    <x v="10"/>
    <n v="595.21"/>
    <n v="0"/>
    <x v="234"/>
    <n v="3760.66"/>
    <x v="233"/>
    <n v="0.42561929824829359"/>
  </r>
  <r>
    <s v="SO-10236"/>
    <x v="168"/>
    <x v="3"/>
    <x v="1"/>
    <x v="0"/>
    <x v="7"/>
    <n v="57.93"/>
    <n v="0.05"/>
    <x v="235"/>
    <n v="128.19999999999999"/>
    <x v="234"/>
    <n v="0.22339330062390211"/>
  </r>
  <r>
    <s v="SO-10237"/>
    <x v="169"/>
    <x v="2"/>
    <x v="1"/>
    <x v="6"/>
    <x v="2"/>
    <n v="592.72"/>
    <n v="0.05"/>
    <x v="236"/>
    <n v="2171.27"/>
    <x v="235"/>
    <n v="0.51799576883545295"/>
  </r>
  <r>
    <s v="SO-10238"/>
    <x v="34"/>
    <x v="1"/>
    <x v="1"/>
    <x v="7"/>
    <x v="6"/>
    <n v="333.5"/>
    <n v="0.1"/>
    <x v="237"/>
    <n v="758.53"/>
    <x v="236"/>
    <n v="0.36821808732155054"/>
  </r>
  <r>
    <s v="SO-10239"/>
    <x v="148"/>
    <x v="3"/>
    <x v="1"/>
    <x v="5"/>
    <x v="5"/>
    <n v="610.98"/>
    <n v="0.2"/>
    <x v="238"/>
    <n v="516.79"/>
    <x v="237"/>
    <n v="0.47134220567325097"/>
  </r>
  <r>
    <s v="SO-10240"/>
    <x v="66"/>
    <x v="2"/>
    <x v="1"/>
    <x v="5"/>
    <x v="2"/>
    <n v="844.89"/>
    <n v="0.1"/>
    <x v="239"/>
    <n v="2874.16"/>
    <x v="238"/>
    <n v="0.52752576353602787"/>
  </r>
  <r>
    <s v="SO-10241"/>
    <x v="97"/>
    <x v="3"/>
    <x v="1"/>
    <x v="6"/>
    <x v="10"/>
    <n v="652.41"/>
    <n v="0.1"/>
    <x v="240"/>
    <n v="4468.78"/>
    <x v="239"/>
    <n v="0.30811522175000189"/>
  </r>
  <r>
    <s v="SO-10242"/>
    <x v="54"/>
    <x v="3"/>
    <x v="0"/>
    <x v="4"/>
    <x v="5"/>
    <n v="201.26"/>
    <n v="0.15"/>
    <x v="241"/>
    <n v="268.25"/>
    <x v="240"/>
    <n v="0.21596422517098265"/>
  </r>
  <r>
    <s v="SO-10243"/>
    <x v="170"/>
    <x v="1"/>
    <x v="2"/>
    <x v="1"/>
    <x v="0"/>
    <n v="715.85"/>
    <n v="0.1"/>
    <x v="242"/>
    <n v="2227.4"/>
    <x v="241"/>
    <n v="0.30854861641428721"/>
  </r>
  <r>
    <s v="SO-10244"/>
    <x v="171"/>
    <x v="1"/>
    <x v="0"/>
    <x v="4"/>
    <x v="4"/>
    <n v="515.72"/>
    <n v="0.05"/>
    <x v="243"/>
    <n v="2218.0100000000002"/>
    <x v="242"/>
    <n v="0.54728280282078234"/>
  </r>
  <r>
    <s v="SO-10245"/>
    <x v="44"/>
    <x v="3"/>
    <x v="2"/>
    <x v="0"/>
    <x v="0"/>
    <n v="735.14"/>
    <n v="0"/>
    <x v="244"/>
    <n v="2503.62"/>
    <x v="243"/>
    <n v="0.31887074263607645"/>
  </r>
  <r>
    <s v="SO-10246"/>
    <x v="172"/>
    <x v="2"/>
    <x v="2"/>
    <x v="0"/>
    <x v="8"/>
    <n v="745.73"/>
    <n v="0"/>
    <x v="245"/>
    <n v="3583.78"/>
    <x v="244"/>
    <n v="0.31347051994774083"/>
  </r>
  <r>
    <s v="SO-10247"/>
    <x v="82"/>
    <x v="3"/>
    <x v="2"/>
    <x v="7"/>
    <x v="5"/>
    <n v="551.41999999999996"/>
    <n v="0.05"/>
    <x v="246"/>
    <n v="659.2"/>
    <x v="245"/>
    <n v="0.37082180013362603"/>
  </r>
  <r>
    <s v="SO-10248"/>
    <x v="50"/>
    <x v="2"/>
    <x v="1"/>
    <x v="4"/>
    <x v="0"/>
    <n v="559.91"/>
    <n v="0.05"/>
    <x v="247"/>
    <n v="1747.52"/>
    <x v="246"/>
    <n v="0.34293631725190726"/>
  </r>
  <r>
    <s v="SO-10249"/>
    <x v="173"/>
    <x v="1"/>
    <x v="2"/>
    <x v="7"/>
    <x v="0"/>
    <n v="487.17"/>
    <n v="0.05"/>
    <x v="248"/>
    <n v="1538.64"/>
    <x v="247"/>
    <n v="0.33508495963768992"/>
  </r>
  <r>
    <s v="SO-10250"/>
    <x v="120"/>
    <x v="2"/>
    <x v="1"/>
    <x v="1"/>
    <x v="4"/>
    <n v="232.75"/>
    <n v="0.1"/>
    <x v="249"/>
    <n v="1592.5"/>
    <x v="248"/>
    <n v="0.23978059853254982"/>
  </r>
  <r>
    <s v="SO-10251"/>
    <x v="174"/>
    <x v="0"/>
    <x v="2"/>
    <x v="2"/>
    <x v="9"/>
    <n v="44.75"/>
    <n v="0"/>
    <x v="250"/>
    <n v="29.07"/>
    <x v="249"/>
    <n v="0.35039106145251397"/>
  </r>
  <r>
    <s v="SO-10252"/>
    <x v="47"/>
    <x v="1"/>
    <x v="2"/>
    <x v="3"/>
    <x v="2"/>
    <n v="465.42"/>
    <n v="0.05"/>
    <x v="251"/>
    <n v="1948.43"/>
    <x v="250"/>
    <n v="0.44915412364721985"/>
  </r>
  <r>
    <s v="SO-10253"/>
    <x v="175"/>
    <x v="2"/>
    <x v="0"/>
    <x v="3"/>
    <x v="1"/>
    <n v="470.63"/>
    <n v="0"/>
    <x v="252"/>
    <n v="2988.89"/>
    <x v="251"/>
    <n v="0.29435415328825593"/>
  </r>
  <r>
    <s v="SO-10254"/>
    <x v="53"/>
    <x v="0"/>
    <x v="0"/>
    <x v="2"/>
    <x v="5"/>
    <n v="391.77"/>
    <n v="0.2"/>
    <x v="253"/>
    <n v="453.3"/>
    <x v="252"/>
    <n v="0.27682146674536956"/>
  </r>
  <r>
    <s v="SO-10255"/>
    <x v="146"/>
    <x v="0"/>
    <x v="2"/>
    <x v="1"/>
    <x v="1"/>
    <n v="806.67"/>
    <n v="0.2"/>
    <x v="254"/>
    <n v="4411.3100000000004"/>
    <x v="253"/>
    <n v="0.24048477460632292"/>
  </r>
  <r>
    <s v="SO-10256"/>
    <x v="176"/>
    <x v="2"/>
    <x v="1"/>
    <x v="7"/>
    <x v="5"/>
    <n v="118.88"/>
    <n v="0.05"/>
    <x v="255"/>
    <n v="179.55"/>
    <x v="254"/>
    <n v="0.20510890738445192"/>
  </r>
  <r>
    <s v="SO-10257"/>
    <x v="177"/>
    <x v="0"/>
    <x v="2"/>
    <x v="1"/>
    <x v="7"/>
    <n v="844.55"/>
    <n v="0.1"/>
    <x v="256"/>
    <n v="1779.81"/>
    <x v="255"/>
    <n v="0.21948085550522084"/>
  </r>
  <r>
    <s v="SO-10258"/>
    <x v="125"/>
    <x v="0"/>
    <x v="2"/>
    <x v="5"/>
    <x v="9"/>
    <n v="339.71"/>
    <n v="0.05"/>
    <x v="257"/>
    <n v="167.73"/>
    <x v="256"/>
    <n v="0.48026152702032721"/>
  </r>
  <r>
    <s v="SO-10259"/>
    <x v="178"/>
    <x v="0"/>
    <x v="0"/>
    <x v="0"/>
    <x v="6"/>
    <n v="165.75"/>
    <n v="0.1"/>
    <x v="258"/>
    <n v="398.94"/>
    <x v="257"/>
    <n v="0.33142837989575824"/>
  </r>
  <r>
    <s v="SO-10260"/>
    <x v="179"/>
    <x v="2"/>
    <x v="1"/>
    <x v="0"/>
    <x v="7"/>
    <n v="769.44"/>
    <n v="0"/>
    <x v="259"/>
    <n v="1763.46"/>
    <x v="258"/>
    <n v="0.23604077406609975"/>
  </r>
  <r>
    <s v="SO-10261"/>
    <x v="10"/>
    <x v="2"/>
    <x v="1"/>
    <x v="5"/>
    <x v="10"/>
    <n v="395.87"/>
    <n v="0.1"/>
    <x v="260"/>
    <n v="2874.25"/>
    <x v="259"/>
    <n v="0.26660951127032972"/>
  </r>
  <r>
    <s v="SO-10262"/>
    <x v="179"/>
    <x v="3"/>
    <x v="2"/>
    <x v="2"/>
    <x v="7"/>
    <n v="709.78"/>
    <n v="0.05"/>
    <x v="261"/>
    <n v="1344.86"/>
    <x v="260"/>
    <n v="0.33517064778929051"/>
  </r>
  <r>
    <s v="SO-10263"/>
    <x v="39"/>
    <x v="2"/>
    <x v="2"/>
    <x v="2"/>
    <x v="8"/>
    <n v="339.91"/>
    <n v="0"/>
    <x v="262"/>
    <n v="1213.99"/>
    <x v="261"/>
    <n v="0.48978939980415154"/>
  </r>
  <r>
    <s v="SO-10264"/>
    <x v="151"/>
    <x v="1"/>
    <x v="2"/>
    <x v="0"/>
    <x v="5"/>
    <n v="820.98"/>
    <n v="0.1"/>
    <x v="263"/>
    <n v="965.52"/>
    <x v="262"/>
    <n v="0.34664392970489316"/>
  </r>
  <r>
    <s v="SO-10265"/>
    <x v="161"/>
    <x v="2"/>
    <x v="1"/>
    <x v="6"/>
    <x v="4"/>
    <n v="750.48"/>
    <n v="0"/>
    <x v="264"/>
    <n v="5840.69"/>
    <x v="263"/>
    <n v="0.22173764152665568"/>
  </r>
  <r>
    <s v="SO-10266"/>
    <x v="62"/>
    <x v="3"/>
    <x v="0"/>
    <x v="0"/>
    <x v="10"/>
    <n v="51.84"/>
    <n v="0.15"/>
    <x v="265"/>
    <n v="266.45"/>
    <x v="264"/>
    <n v="0.45026718108481711"/>
  </r>
  <r>
    <s v="SO-10267"/>
    <x v="113"/>
    <x v="3"/>
    <x v="0"/>
    <x v="0"/>
    <x v="1"/>
    <n v="259.58999999999997"/>
    <n v="0.1"/>
    <x v="266"/>
    <n v="1626.83"/>
    <x v="265"/>
    <n v="0.22631746650750698"/>
  </r>
  <r>
    <s v="SO-10268"/>
    <x v="180"/>
    <x v="0"/>
    <x v="2"/>
    <x v="7"/>
    <x v="9"/>
    <n v="94.46"/>
    <n v="0.15"/>
    <x v="267"/>
    <n v="52.86"/>
    <x v="266"/>
    <n v="0.34163656744301901"/>
  </r>
  <r>
    <s v="SO-10269"/>
    <x v="44"/>
    <x v="0"/>
    <x v="0"/>
    <x v="4"/>
    <x v="10"/>
    <n v="789.22"/>
    <n v="0.1"/>
    <x v="268"/>
    <n v="4633.82"/>
    <x v="267"/>
    <n v="0.40692949302916698"/>
  </r>
  <r>
    <s v="SO-10270"/>
    <x v="152"/>
    <x v="0"/>
    <x v="0"/>
    <x v="7"/>
    <x v="3"/>
    <n v="624.71"/>
    <n v="0"/>
    <x v="269"/>
    <n v="1759.83"/>
    <x v="268"/>
    <n v="0.53049164407828742"/>
  </r>
  <r>
    <s v="SO-10271"/>
    <x v="181"/>
    <x v="0"/>
    <x v="2"/>
    <x v="1"/>
    <x v="8"/>
    <n v="678.03"/>
    <n v="0.05"/>
    <x v="270"/>
    <n v="3520.21"/>
    <x v="269"/>
    <n v="0.2192752112488634"/>
  </r>
  <r>
    <s v="SO-10272"/>
    <x v="129"/>
    <x v="1"/>
    <x v="2"/>
    <x v="1"/>
    <x v="5"/>
    <n v="771.37"/>
    <n v="0.15"/>
    <x v="271"/>
    <n v="846.42"/>
    <x v="270"/>
    <n v="0.35453048027208811"/>
  </r>
  <r>
    <s v="SO-10273"/>
    <x v="94"/>
    <x v="1"/>
    <x v="1"/>
    <x v="0"/>
    <x v="10"/>
    <n v="840.96"/>
    <n v="0.05"/>
    <x v="272"/>
    <n v="4307.08"/>
    <x v="271"/>
    <n v="0.50989020242398997"/>
  </r>
  <r>
    <s v="SO-10274"/>
    <x v="0"/>
    <x v="3"/>
    <x v="2"/>
    <x v="0"/>
    <x v="10"/>
    <n v="299.92"/>
    <n v="0.15"/>
    <x v="273"/>
    <n v="1263.3399999999999"/>
    <x v="272"/>
    <n v="0.54949255775142103"/>
  </r>
  <r>
    <s v="SO-10275"/>
    <x v="182"/>
    <x v="2"/>
    <x v="1"/>
    <x v="5"/>
    <x v="1"/>
    <n v="558.32000000000005"/>
    <n v="0.1"/>
    <x v="274"/>
    <n v="2517.59"/>
    <x v="273"/>
    <n v="0.44330911326236838"/>
  </r>
  <r>
    <s v="SO-10276"/>
    <x v="96"/>
    <x v="3"/>
    <x v="0"/>
    <x v="1"/>
    <x v="5"/>
    <n v="664.14"/>
    <n v="0.15"/>
    <x v="275"/>
    <n v="631.33000000000004"/>
    <x v="274"/>
    <n v="0.44082583433713596"/>
  </r>
  <r>
    <s v="SO-10277"/>
    <x v="0"/>
    <x v="2"/>
    <x v="1"/>
    <x v="2"/>
    <x v="4"/>
    <n v="242.76"/>
    <n v="0.05"/>
    <x v="276"/>
    <n v="1290.73"/>
    <x v="275"/>
    <n v="0.4403338753387534"/>
  </r>
  <r>
    <s v="SO-10278"/>
    <x v="90"/>
    <x v="1"/>
    <x v="2"/>
    <x v="5"/>
    <x v="2"/>
    <n v="702.9"/>
    <n v="0.05"/>
    <x v="277"/>
    <n v="2933.14"/>
    <x v="276"/>
    <n v="0.45093054687178258"/>
  </r>
  <r>
    <s v="SO-10279"/>
    <x v="20"/>
    <x v="2"/>
    <x v="0"/>
    <x v="5"/>
    <x v="7"/>
    <n v="423.93"/>
    <n v="0.05"/>
    <x v="278"/>
    <n v="887.85"/>
    <x v="277"/>
    <n v="0.2651404166563206"/>
  </r>
  <r>
    <s v="SO-10280"/>
    <x v="141"/>
    <x v="2"/>
    <x v="2"/>
    <x v="4"/>
    <x v="9"/>
    <n v="39.92"/>
    <n v="0"/>
    <x v="279"/>
    <n v="25.99"/>
    <x v="278"/>
    <n v="0.34919839679358716"/>
  </r>
  <r>
    <s v="SO-10281"/>
    <x v="183"/>
    <x v="2"/>
    <x v="0"/>
    <x v="2"/>
    <x v="2"/>
    <n v="704.26"/>
    <n v="0.15"/>
    <x v="280"/>
    <n v="3442.11"/>
    <x v="279"/>
    <n v="0.28124360511006519"/>
  </r>
  <r>
    <s v="SO-10282"/>
    <x v="93"/>
    <x v="3"/>
    <x v="0"/>
    <x v="5"/>
    <x v="4"/>
    <n v="507.96"/>
    <n v="0"/>
    <x v="281"/>
    <n v="2985.88"/>
    <x v="280"/>
    <n v="0.41218055859058933"/>
  </r>
  <r>
    <s v="SO-10283"/>
    <x v="184"/>
    <x v="2"/>
    <x v="0"/>
    <x v="4"/>
    <x v="3"/>
    <n v="19.010000000000002"/>
    <n v="0.15"/>
    <x v="282"/>
    <n v="67.33"/>
    <x v="281"/>
    <n v="0.30534351145038169"/>
  </r>
  <r>
    <s v="SO-10284"/>
    <x v="21"/>
    <x v="0"/>
    <x v="0"/>
    <x v="0"/>
    <x v="2"/>
    <n v="35.19"/>
    <n v="0.15"/>
    <x v="283"/>
    <n v="157.15"/>
    <x v="282"/>
    <n v="0.34332037942417781"/>
  </r>
  <r>
    <s v="SO-10285"/>
    <x v="185"/>
    <x v="0"/>
    <x v="0"/>
    <x v="3"/>
    <x v="9"/>
    <n v="790.89"/>
    <n v="0.05"/>
    <x v="284"/>
    <n v="573.5"/>
    <x v="283"/>
    <n v="0.23670726026485658"/>
  </r>
  <r>
    <s v="SO-10286"/>
    <x v="186"/>
    <x v="0"/>
    <x v="0"/>
    <x v="1"/>
    <x v="0"/>
    <n v="280.33"/>
    <n v="0.15"/>
    <x v="285"/>
    <n v="777.85"/>
    <x v="284"/>
    <n v="0.34711812054624352"/>
  </r>
  <r>
    <s v="SO-10287"/>
    <x v="187"/>
    <x v="2"/>
    <x v="1"/>
    <x v="3"/>
    <x v="5"/>
    <n v="669.4"/>
    <n v="0.1"/>
    <x v="286"/>
    <n v="622.02"/>
    <x v="285"/>
    <n v="0.48377485642200307"/>
  </r>
  <r>
    <s v="SO-10288"/>
    <x v="67"/>
    <x v="1"/>
    <x v="0"/>
    <x v="6"/>
    <x v="7"/>
    <n v="324.39999999999998"/>
    <n v="0.1"/>
    <x v="287"/>
    <n v="451.02"/>
    <x v="286"/>
    <n v="0.48507232643368459"/>
  </r>
  <r>
    <s v="SO-10289"/>
    <x v="166"/>
    <x v="0"/>
    <x v="0"/>
    <x v="0"/>
    <x v="3"/>
    <n v="145.81"/>
    <n v="0.15"/>
    <x v="288"/>
    <n v="425.38"/>
    <x v="287"/>
    <n v="0.42795282473339519"/>
  </r>
  <r>
    <s v="SO-10290"/>
    <x v="162"/>
    <x v="3"/>
    <x v="0"/>
    <x v="6"/>
    <x v="8"/>
    <n v="630.72"/>
    <n v="0.15"/>
    <x v="289"/>
    <n v="2388.37"/>
    <x v="288"/>
    <n v="0.36356974600027714"/>
  </r>
  <r>
    <s v="SO-10291"/>
    <x v="132"/>
    <x v="1"/>
    <x v="2"/>
    <x v="4"/>
    <x v="8"/>
    <n v="533.65"/>
    <n v="0"/>
    <x v="290"/>
    <n v="2942.33"/>
    <x v="289"/>
    <n v="0.21234567240253135"/>
  </r>
  <r>
    <s v="SO-10292"/>
    <x v="179"/>
    <x v="3"/>
    <x v="0"/>
    <x v="3"/>
    <x v="7"/>
    <n v="437.17"/>
    <n v="0.15"/>
    <x v="291"/>
    <n v="514.05999999999995"/>
    <x v="290"/>
    <n v="0.53886865569888232"/>
  </r>
  <r>
    <s v="SO-10293"/>
    <x v="188"/>
    <x v="2"/>
    <x v="0"/>
    <x v="6"/>
    <x v="10"/>
    <n v="414.35"/>
    <n v="0.2"/>
    <x v="292"/>
    <n v="2784.58"/>
    <x v="291"/>
    <n v="0.23632304705069276"/>
  </r>
  <r>
    <s v="SO-10294"/>
    <x v="91"/>
    <x v="1"/>
    <x v="1"/>
    <x v="2"/>
    <x v="0"/>
    <n v="361.94"/>
    <n v="0.05"/>
    <x v="293"/>
    <n v="1117.19"/>
    <x v="292"/>
    <n v="0.35017624271471942"/>
  </r>
  <r>
    <s v="SO-10295"/>
    <x v="189"/>
    <x v="1"/>
    <x v="2"/>
    <x v="4"/>
    <x v="6"/>
    <n v="440.5"/>
    <n v="0.05"/>
    <x v="294"/>
    <n v="758.06"/>
    <x v="293"/>
    <n v="0.54713216361692085"/>
  </r>
  <r>
    <s v="SO-10296"/>
    <x v="145"/>
    <x v="2"/>
    <x v="0"/>
    <x v="2"/>
    <x v="5"/>
    <n v="766.25"/>
    <n v="0.1"/>
    <x v="295"/>
    <n v="1062.23"/>
    <x v="294"/>
    <n v="0.22984230560087004"/>
  </r>
  <r>
    <s v="SO-10297"/>
    <x v="190"/>
    <x v="0"/>
    <x v="2"/>
    <x v="1"/>
    <x v="8"/>
    <n v="332.25"/>
    <n v="0.05"/>
    <x v="296"/>
    <n v="1269.6400000000001"/>
    <x v="295"/>
    <n v="0.42536377831587052"/>
  </r>
  <r>
    <s v="SO-10298"/>
    <x v="84"/>
    <x v="3"/>
    <x v="2"/>
    <x v="7"/>
    <x v="7"/>
    <n v="350.01"/>
    <n v="0.05"/>
    <x v="297"/>
    <n v="529.51"/>
    <x v="296"/>
    <n v="0.46917355040500441"/>
  </r>
  <r>
    <s v="SO-10299"/>
    <x v="191"/>
    <x v="1"/>
    <x v="0"/>
    <x v="3"/>
    <x v="2"/>
    <n v="107.89"/>
    <n v="0"/>
    <x v="298"/>
    <n v="409.57"/>
    <x v="297"/>
    <n v="0.52545534597024601"/>
  </r>
  <r>
    <s v="SO-10300"/>
    <x v="108"/>
    <x v="1"/>
    <x v="2"/>
    <x v="3"/>
    <x v="5"/>
    <n v="422.28"/>
    <n v="0.15"/>
    <x v="299"/>
    <n v="547.79"/>
    <x v="298"/>
    <n v="0.23693374937315428"/>
  </r>
  <r>
    <s v="SO-10301"/>
    <x v="17"/>
    <x v="1"/>
    <x v="2"/>
    <x v="6"/>
    <x v="6"/>
    <n v="839.2"/>
    <n v="0.15"/>
    <x v="300"/>
    <n v="1809.39"/>
    <x v="299"/>
    <n v="0.36585835999845795"/>
  </r>
  <r>
    <s v="SO-10302"/>
    <x v="192"/>
    <x v="2"/>
    <x v="0"/>
    <x v="3"/>
    <x v="2"/>
    <n v="522.79999999999995"/>
    <n v="0.2"/>
    <x v="301"/>
    <n v="1767.28"/>
    <x v="300"/>
    <n v="0.471808696639758"/>
  </r>
  <r>
    <s v="SO-10303"/>
    <x v="193"/>
    <x v="0"/>
    <x v="0"/>
    <x v="6"/>
    <x v="6"/>
    <n v="207.3"/>
    <n v="0"/>
    <x v="302"/>
    <n v="403.14"/>
    <x v="301"/>
    <n v="0.51382054992764103"/>
  </r>
  <r>
    <s v="SO-10304"/>
    <x v="67"/>
    <x v="3"/>
    <x v="1"/>
    <x v="3"/>
    <x v="9"/>
    <n v="552.64"/>
    <n v="0.1"/>
    <x v="303"/>
    <n v="239.89"/>
    <x v="302"/>
    <n v="0.51769270979934856"/>
  </r>
  <r>
    <s v="SO-10305"/>
    <x v="194"/>
    <x v="1"/>
    <x v="0"/>
    <x v="4"/>
    <x v="4"/>
    <n v="558.09"/>
    <n v="0.2"/>
    <x v="304"/>
    <n v="2166.0500000000002"/>
    <x v="303"/>
    <n v="0.51484873529853137"/>
  </r>
  <r>
    <s v="SO-10306"/>
    <x v="195"/>
    <x v="3"/>
    <x v="0"/>
    <x v="0"/>
    <x v="3"/>
    <n v="650.45000000000005"/>
    <n v="0"/>
    <x v="305"/>
    <n v="1853.14"/>
    <x v="304"/>
    <n v="0.52516341292800606"/>
  </r>
  <r>
    <s v="SO-10307"/>
    <x v="176"/>
    <x v="3"/>
    <x v="1"/>
    <x v="4"/>
    <x v="0"/>
    <n v="478.21"/>
    <n v="0.05"/>
    <x v="306"/>
    <n v="1359.97"/>
    <x v="305"/>
    <n v="0.40128989654413383"/>
  </r>
  <r>
    <s v="SO-10308"/>
    <x v="196"/>
    <x v="0"/>
    <x v="2"/>
    <x v="3"/>
    <x v="8"/>
    <n v="538.19000000000005"/>
    <n v="0.1"/>
    <x v="307"/>
    <n v="2041.98"/>
    <x v="306"/>
    <n v="0.39774610833544699"/>
  </r>
  <r>
    <s v="SO-10309"/>
    <x v="197"/>
    <x v="2"/>
    <x v="0"/>
    <x v="1"/>
    <x v="2"/>
    <n v="227.11"/>
    <n v="0"/>
    <x v="308"/>
    <n v="1122.9000000000001"/>
    <x v="307"/>
    <n v="0.38195908347872992"/>
  </r>
  <r>
    <s v="SO-10310"/>
    <x v="198"/>
    <x v="2"/>
    <x v="1"/>
    <x v="1"/>
    <x v="2"/>
    <n v="840.41"/>
    <n v="0.1"/>
    <x v="309"/>
    <n v="3682.95"/>
    <x v="308"/>
    <n v="0.39134214301296333"/>
  </r>
  <r>
    <s v="SO-10311"/>
    <x v="199"/>
    <x v="0"/>
    <x v="2"/>
    <x v="5"/>
    <x v="4"/>
    <n v="109.59"/>
    <n v="0.05"/>
    <x v="310"/>
    <n v="747.71"/>
    <x v="309"/>
    <n v="0.28182149992315975"/>
  </r>
  <r>
    <s v="SO-10312"/>
    <x v="154"/>
    <x v="2"/>
    <x v="1"/>
    <x v="6"/>
    <x v="10"/>
    <n v="441.84"/>
    <n v="0.1"/>
    <x v="311"/>
    <n v="2080.71"/>
    <x v="310"/>
    <n v="0.52432759901697434"/>
  </r>
  <r>
    <s v="SO-10313"/>
    <x v="200"/>
    <x v="2"/>
    <x v="1"/>
    <x v="1"/>
    <x v="5"/>
    <n v="376.69"/>
    <n v="0.1"/>
    <x v="312"/>
    <n v="503.45"/>
    <x v="311"/>
    <n v="0.25748838581225575"/>
  </r>
  <r>
    <s v="SO-10314"/>
    <x v="129"/>
    <x v="1"/>
    <x v="2"/>
    <x v="0"/>
    <x v="8"/>
    <n v="185.5"/>
    <n v="0"/>
    <x v="313"/>
    <n v="667.66"/>
    <x v="312"/>
    <n v="0.48581022280068076"/>
  </r>
  <r>
    <s v="SO-10315"/>
    <x v="83"/>
    <x v="2"/>
    <x v="1"/>
    <x v="5"/>
    <x v="2"/>
    <n v="461.19"/>
    <n v="0.05"/>
    <x v="314"/>
    <n v="2003.37"/>
    <x v="313"/>
    <n v="0.42843815262419122"/>
  </r>
  <r>
    <s v="SO-10316"/>
    <x v="66"/>
    <x v="1"/>
    <x v="1"/>
    <x v="4"/>
    <x v="2"/>
    <n v="383.57"/>
    <n v="0"/>
    <x v="315"/>
    <n v="1944.28"/>
    <x v="314"/>
    <n v="0.36638270969255737"/>
  </r>
  <r>
    <s v="SO-10317"/>
    <x v="201"/>
    <x v="3"/>
    <x v="2"/>
    <x v="1"/>
    <x v="1"/>
    <n v="373.51"/>
    <n v="0.1"/>
    <x v="316"/>
    <n v="2415.1999999999998"/>
    <x v="315"/>
    <n v="0.20171080856858606"/>
  </r>
  <r>
    <s v="SO-10318"/>
    <x v="166"/>
    <x v="1"/>
    <x v="1"/>
    <x v="0"/>
    <x v="3"/>
    <n v="60.6"/>
    <n v="0.05"/>
    <x v="317"/>
    <n v="157.47999999999999"/>
    <x v="316"/>
    <n v="0.5441044495266768"/>
  </r>
  <r>
    <s v="SO-10319"/>
    <x v="202"/>
    <x v="2"/>
    <x v="2"/>
    <x v="7"/>
    <x v="7"/>
    <n v="564.9"/>
    <n v="0.05"/>
    <x v="318"/>
    <n v="913.78"/>
    <x v="317"/>
    <n v="0.43242420666223597"/>
  </r>
  <r>
    <s v="SO-10320"/>
    <x v="203"/>
    <x v="1"/>
    <x v="0"/>
    <x v="0"/>
    <x v="8"/>
    <n v="234.8"/>
    <n v="0.05"/>
    <x v="319"/>
    <n v="803.25"/>
    <x v="318"/>
    <n v="0.48555472297474717"/>
  </r>
  <r>
    <s v="SO-10321"/>
    <x v="121"/>
    <x v="0"/>
    <x v="2"/>
    <x v="1"/>
    <x v="4"/>
    <n v="445.42"/>
    <n v="0.1"/>
    <x v="320"/>
    <n v="3111.64"/>
    <x v="319"/>
    <n v="0.22378990011873995"/>
  </r>
  <r>
    <s v="SO-10322"/>
    <x v="62"/>
    <x v="2"/>
    <x v="0"/>
    <x v="5"/>
    <x v="2"/>
    <n v="778.3"/>
    <n v="0.1"/>
    <x v="321"/>
    <n v="3145.8"/>
    <x v="320"/>
    <n v="0.43862391656985616"/>
  </r>
  <r>
    <s v="SO-10323"/>
    <x v="204"/>
    <x v="3"/>
    <x v="0"/>
    <x v="7"/>
    <x v="9"/>
    <n v="155.52000000000001"/>
    <n v="0"/>
    <x v="322"/>
    <n v="73"/>
    <x v="321"/>
    <n v="0.53060699588477356"/>
  </r>
  <r>
    <s v="SO-10324"/>
    <x v="205"/>
    <x v="3"/>
    <x v="1"/>
    <x v="1"/>
    <x v="9"/>
    <n v="246.98"/>
    <n v="0"/>
    <x v="323"/>
    <n v="156.57"/>
    <x v="322"/>
    <n v="0.36606202931411452"/>
  </r>
  <r>
    <s v="SO-10325"/>
    <x v="129"/>
    <x v="2"/>
    <x v="2"/>
    <x v="6"/>
    <x v="7"/>
    <n v="737.67"/>
    <n v="0.05"/>
    <x v="324"/>
    <n v="1246.8399999999999"/>
    <x v="323"/>
    <n v="0.40693316082878284"/>
  </r>
  <r>
    <s v="SO-10326"/>
    <x v="164"/>
    <x v="2"/>
    <x v="1"/>
    <x v="4"/>
    <x v="2"/>
    <n v="294.95"/>
    <n v="0"/>
    <x v="325"/>
    <n v="1125.31"/>
    <x v="324"/>
    <n v="0.52309896043023685"/>
  </r>
  <r>
    <s v="SO-10327"/>
    <x v="206"/>
    <x v="0"/>
    <x v="0"/>
    <x v="6"/>
    <x v="7"/>
    <n v="549.16999999999996"/>
    <n v="0.05"/>
    <x v="326"/>
    <n v="1059.51"/>
    <x v="325"/>
    <n v="0.32305097307589098"/>
  </r>
  <r>
    <s v="SO-10328"/>
    <x v="151"/>
    <x v="0"/>
    <x v="2"/>
    <x v="4"/>
    <x v="7"/>
    <n v="134.08000000000001"/>
    <n v="0.1"/>
    <x v="327"/>
    <n v="163.83000000000001"/>
    <x v="326"/>
    <n v="0.54745594166068179"/>
  </r>
  <r>
    <s v="SO-10329"/>
    <x v="207"/>
    <x v="1"/>
    <x v="0"/>
    <x v="6"/>
    <x v="3"/>
    <n v="304.93"/>
    <n v="0.05"/>
    <x v="328"/>
    <n v="1335.54"/>
    <x v="327"/>
    <n v="0.23160038663352667"/>
  </r>
  <r>
    <s v="SO-10330"/>
    <x v="162"/>
    <x v="0"/>
    <x v="0"/>
    <x v="4"/>
    <x v="1"/>
    <n v="749.97"/>
    <n v="0.2"/>
    <x v="329"/>
    <n v="3299.97"/>
    <x v="328"/>
    <n v="0.38887067830415628"/>
  </r>
  <r>
    <s v="SO-10331"/>
    <x v="93"/>
    <x v="3"/>
    <x v="1"/>
    <x v="3"/>
    <x v="4"/>
    <n v="458.42"/>
    <n v="0.05"/>
    <x v="330"/>
    <n v="2419.13"/>
    <x v="329"/>
    <n v="0.44451282098384143"/>
  </r>
  <r>
    <s v="SO-10332"/>
    <x v="101"/>
    <x v="1"/>
    <x v="2"/>
    <x v="4"/>
    <x v="7"/>
    <n v="637.23"/>
    <n v="0.1"/>
    <x v="331"/>
    <n v="1347.05"/>
    <x v="330"/>
    <n v="0.2170668340569476"/>
  </r>
  <r>
    <s v="SO-10333"/>
    <x v="183"/>
    <x v="0"/>
    <x v="1"/>
    <x v="6"/>
    <x v="6"/>
    <n v="703.1"/>
    <n v="0.05"/>
    <x v="332"/>
    <n v="1841.77"/>
    <x v="331"/>
    <n v="0.31066322329515678"/>
  </r>
  <r>
    <s v="SO-10334"/>
    <x v="151"/>
    <x v="0"/>
    <x v="1"/>
    <x v="4"/>
    <x v="8"/>
    <n v="68.900000000000006"/>
    <n v="0.05"/>
    <x v="333"/>
    <n v="359.32"/>
    <x v="332"/>
    <n v="0.215800960279354"/>
  </r>
  <r>
    <s v="SO-10335"/>
    <x v="18"/>
    <x v="2"/>
    <x v="1"/>
    <x v="3"/>
    <x v="1"/>
    <n v="619.21"/>
    <n v="0.15"/>
    <x v="334"/>
    <n v="3356.01"/>
    <x v="333"/>
    <n v="0.29153111997280978"/>
  </r>
  <r>
    <s v="SO-10336"/>
    <x v="145"/>
    <x v="3"/>
    <x v="0"/>
    <x v="7"/>
    <x v="3"/>
    <n v="68.06"/>
    <n v="0"/>
    <x v="335"/>
    <n v="279.06"/>
    <x v="334"/>
    <n v="0.31660789499461256"/>
  </r>
  <r>
    <s v="SO-10337"/>
    <x v="208"/>
    <x v="0"/>
    <x v="1"/>
    <x v="7"/>
    <x v="8"/>
    <n v="794.63"/>
    <n v="0.05"/>
    <x v="336"/>
    <n v="2504.2199999999998"/>
    <x v="335"/>
    <n v="0.52610364247433916"/>
  </r>
  <r>
    <s v="SO-10338"/>
    <x v="197"/>
    <x v="2"/>
    <x v="1"/>
    <x v="4"/>
    <x v="8"/>
    <n v="465.09"/>
    <n v="0"/>
    <x v="337"/>
    <n v="2293.63"/>
    <x v="336"/>
    <n v="0.29548379566348548"/>
  </r>
  <r>
    <s v="SO-10339"/>
    <x v="175"/>
    <x v="0"/>
    <x v="1"/>
    <x v="2"/>
    <x v="3"/>
    <n v="382.33"/>
    <n v="0"/>
    <x v="338"/>
    <n v="1372.56"/>
    <x v="337"/>
    <n v="0.40166785820153794"/>
  </r>
  <r>
    <s v="SO-10340"/>
    <x v="209"/>
    <x v="1"/>
    <x v="0"/>
    <x v="4"/>
    <x v="2"/>
    <n v="166.77"/>
    <n v="0"/>
    <x v="339"/>
    <n v="762.02"/>
    <x v="338"/>
    <n v="0.4288219950229365"/>
  </r>
  <r>
    <s v="SO-10341"/>
    <x v="160"/>
    <x v="0"/>
    <x v="2"/>
    <x v="0"/>
    <x v="1"/>
    <n v="614.11"/>
    <n v="0.15"/>
    <x v="340"/>
    <n v="2672.97"/>
    <x v="339"/>
    <n v="0.43103481305675884"/>
  </r>
  <r>
    <s v="SO-10342"/>
    <x v="117"/>
    <x v="1"/>
    <x v="2"/>
    <x v="3"/>
    <x v="1"/>
    <n v="45.47"/>
    <n v="0"/>
    <x v="341"/>
    <n v="219.85"/>
    <x v="340"/>
    <n v="0.46272085237408667"/>
  </r>
  <r>
    <s v="SO-10343"/>
    <x v="48"/>
    <x v="2"/>
    <x v="1"/>
    <x v="6"/>
    <x v="8"/>
    <n v="268.31"/>
    <n v="0"/>
    <x v="342"/>
    <n v="1225.1300000000001"/>
    <x v="341"/>
    <n v="0.34771057395378557"/>
  </r>
  <r>
    <s v="SO-10344"/>
    <x v="210"/>
    <x v="3"/>
    <x v="2"/>
    <x v="6"/>
    <x v="2"/>
    <n v="381.75"/>
    <n v="0.05"/>
    <x v="343"/>
    <n v="1660.94"/>
    <x v="342"/>
    <n v="0.42752067169657842"/>
  </r>
  <r>
    <s v="SO-10345"/>
    <x v="211"/>
    <x v="2"/>
    <x v="1"/>
    <x v="1"/>
    <x v="8"/>
    <n v="526.12"/>
    <n v="0.1"/>
    <x v="344"/>
    <n v="1602.28"/>
    <x v="343"/>
    <n v="0.51659199589687887"/>
  </r>
  <r>
    <s v="SO-10346"/>
    <x v="45"/>
    <x v="1"/>
    <x v="0"/>
    <x v="2"/>
    <x v="2"/>
    <n v="510.35"/>
    <n v="0.2"/>
    <x v="345"/>
    <n v="1487.74"/>
    <x v="344"/>
    <n v="0.54451128970531959"/>
  </r>
  <r>
    <s v="SO-10347"/>
    <x v="54"/>
    <x v="0"/>
    <x v="1"/>
    <x v="7"/>
    <x v="4"/>
    <n v="264.68"/>
    <n v="0.05"/>
    <x v="346"/>
    <n v="1567.67"/>
    <x v="345"/>
    <n v="0.37654058310498834"/>
  </r>
  <r>
    <s v="SO-10348"/>
    <x v="212"/>
    <x v="1"/>
    <x v="1"/>
    <x v="6"/>
    <x v="4"/>
    <n v="448.82"/>
    <n v="0.15"/>
    <x v="347"/>
    <n v="2209.34"/>
    <x v="346"/>
    <n v="0.4208833551769332"/>
  </r>
  <r>
    <s v="SO-10349"/>
    <x v="213"/>
    <x v="2"/>
    <x v="0"/>
    <x v="3"/>
    <x v="6"/>
    <n v="261.27"/>
    <n v="0.1"/>
    <x v="348"/>
    <n v="678.66"/>
    <x v="347"/>
    <n v="0.27846647813051523"/>
  </r>
  <r>
    <s v="SO-10350"/>
    <x v="183"/>
    <x v="3"/>
    <x v="0"/>
    <x v="0"/>
    <x v="8"/>
    <n v="20.39"/>
    <n v="0.15"/>
    <x v="349"/>
    <n v="69.510000000000005"/>
    <x v="348"/>
    <n v="0.42700519330640507"/>
  </r>
  <r>
    <s v="SO-10351"/>
    <x v="30"/>
    <x v="0"/>
    <x v="1"/>
    <x v="6"/>
    <x v="5"/>
    <n v="66.33"/>
    <n v="0.1"/>
    <x v="350"/>
    <n v="80.790000000000006"/>
    <x v="349"/>
    <n v="0.32336683417085427"/>
  </r>
  <r>
    <s v="SO-10352"/>
    <x v="41"/>
    <x v="1"/>
    <x v="2"/>
    <x v="5"/>
    <x v="2"/>
    <n v="64.930000000000007"/>
    <n v="0"/>
    <x v="351"/>
    <n v="242.99"/>
    <x v="350"/>
    <n v="0.53223477775424954"/>
  </r>
  <r>
    <s v="SO-10353"/>
    <x v="100"/>
    <x v="1"/>
    <x v="2"/>
    <x v="0"/>
    <x v="10"/>
    <n v="600.70000000000005"/>
    <n v="0.05"/>
    <x v="352"/>
    <n v="4877.45"/>
    <x v="351"/>
    <n v="0.22299980724104584"/>
  </r>
  <r>
    <s v="SO-10354"/>
    <x v="27"/>
    <x v="3"/>
    <x v="2"/>
    <x v="5"/>
    <x v="7"/>
    <n v="430.49"/>
    <n v="0.2"/>
    <x v="353"/>
    <n v="681.19"/>
    <x v="352"/>
    <n v="0.34066997686731126"/>
  </r>
  <r>
    <s v="SO-10355"/>
    <x v="214"/>
    <x v="0"/>
    <x v="0"/>
    <x v="1"/>
    <x v="2"/>
    <n v="109.73"/>
    <n v="0.05"/>
    <x v="354"/>
    <n v="525.16"/>
    <x v="353"/>
    <n v="0.37026333461243283"/>
  </r>
  <r>
    <s v="SO-10356"/>
    <x v="152"/>
    <x v="3"/>
    <x v="2"/>
    <x v="3"/>
    <x v="3"/>
    <n v="415.44"/>
    <n v="0"/>
    <x v="355"/>
    <n v="1608.26"/>
    <x v="354"/>
    <n v="0.35480312117625817"/>
  </r>
  <r>
    <s v="SO-10357"/>
    <x v="48"/>
    <x v="0"/>
    <x v="2"/>
    <x v="6"/>
    <x v="8"/>
    <n v="803.01"/>
    <n v="0"/>
    <x v="356"/>
    <n v="3139.06"/>
    <x v="355"/>
    <n v="0.44155670875221714"/>
  </r>
  <r>
    <s v="SO-10358"/>
    <x v="90"/>
    <x v="0"/>
    <x v="1"/>
    <x v="5"/>
    <x v="2"/>
    <n v="411.35"/>
    <n v="0.1"/>
    <x v="357"/>
    <n v="1604.32"/>
    <x v="356"/>
    <n v="0.45830955765419307"/>
  </r>
  <r>
    <s v="SO-10359"/>
    <x v="65"/>
    <x v="3"/>
    <x v="0"/>
    <x v="0"/>
    <x v="10"/>
    <n v="567.45000000000005"/>
    <n v="0.15"/>
    <x v="358"/>
    <n v="4074.46"/>
    <x v="357"/>
    <n v="0.23205551796474339"/>
  </r>
  <r>
    <s v="SO-10360"/>
    <x v="152"/>
    <x v="0"/>
    <x v="0"/>
    <x v="4"/>
    <x v="0"/>
    <n v="702.36"/>
    <n v="0.05"/>
    <x v="359"/>
    <n v="2594.39"/>
    <x v="358"/>
    <n v="0.22234944652432864"/>
  </r>
  <r>
    <s v="SO-10361"/>
    <x v="93"/>
    <x v="3"/>
    <x v="2"/>
    <x v="4"/>
    <x v="8"/>
    <n v="231.23"/>
    <n v="0.05"/>
    <x v="360"/>
    <n v="1038.47"/>
    <x v="359"/>
    <n v="0.32466020680236718"/>
  </r>
  <r>
    <s v="SO-10362"/>
    <x v="215"/>
    <x v="2"/>
    <x v="1"/>
    <x v="3"/>
    <x v="1"/>
    <n v="390.96"/>
    <n v="0.1"/>
    <x v="361"/>
    <n v="1505.02"/>
    <x v="360"/>
    <n v="0.5247430330780769"/>
  </r>
  <r>
    <s v="SO-10363"/>
    <x v="188"/>
    <x v="2"/>
    <x v="2"/>
    <x v="5"/>
    <x v="3"/>
    <n v="491.51"/>
    <n v="0.15"/>
    <x v="362"/>
    <n v="1420.19"/>
    <x v="361"/>
    <n v="0.4334401142542556"/>
  </r>
  <r>
    <s v="SO-10364"/>
    <x v="216"/>
    <x v="2"/>
    <x v="2"/>
    <x v="1"/>
    <x v="10"/>
    <n v="814.41"/>
    <n v="0.2"/>
    <x v="363"/>
    <n v="3623.59"/>
    <x v="362"/>
    <n v="0.49439078637826195"/>
  </r>
  <r>
    <s v="SO-10365"/>
    <x v="142"/>
    <x v="2"/>
    <x v="1"/>
    <x v="6"/>
    <x v="7"/>
    <n v="534.66"/>
    <n v="0"/>
    <x v="364"/>
    <n v="1265.4100000000001"/>
    <x v="363"/>
    <n v="0.21108118555094202"/>
  </r>
  <r>
    <s v="SO-10366"/>
    <x v="141"/>
    <x v="2"/>
    <x v="2"/>
    <x v="5"/>
    <x v="5"/>
    <n v="422.8"/>
    <n v="0.1"/>
    <x v="365"/>
    <n v="608.65"/>
    <x v="364"/>
    <n v="0.20023914643119942"/>
  </r>
  <r>
    <s v="SO-10367"/>
    <x v="27"/>
    <x v="0"/>
    <x v="0"/>
    <x v="0"/>
    <x v="2"/>
    <n v="694.38"/>
    <n v="0"/>
    <x v="366"/>
    <n v="3617.45"/>
    <x v="365"/>
    <n v="0.3487962239559893"/>
  </r>
  <r>
    <s v="SO-10368"/>
    <x v="217"/>
    <x v="1"/>
    <x v="0"/>
    <x v="5"/>
    <x v="1"/>
    <n v="309.27"/>
    <n v="0.1"/>
    <x v="367"/>
    <n v="1150.47"/>
    <x v="366"/>
    <n v="0.54074887230050706"/>
  </r>
  <r>
    <s v="SO-10369"/>
    <x v="215"/>
    <x v="3"/>
    <x v="1"/>
    <x v="1"/>
    <x v="5"/>
    <n v="712.87"/>
    <n v="0"/>
    <x v="368"/>
    <n v="1126.94"/>
    <x v="367"/>
    <n v="0.20956983440062285"/>
  </r>
  <r>
    <s v="SO-10370"/>
    <x v="52"/>
    <x v="2"/>
    <x v="2"/>
    <x v="3"/>
    <x v="7"/>
    <n v="116.1"/>
    <n v="0"/>
    <x v="369"/>
    <n v="269.70999999999998"/>
    <x v="368"/>
    <n v="0.22568975912262065"/>
  </r>
  <r>
    <s v="SO-10371"/>
    <x v="218"/>
    <x v="3"/>
    <x v="0"/>
    <x v="4"/>
    <x v="6"/>
    <n v="534.02"/>
    <n v="0.05"/>
    <x v="370"/>
    <n v="1613.19"/>
    <x v="369"/>
    <n v="0.20503432268746888"/>
  </r>
  <r>
    <s v="SO-10372"/>
    <x v="219"/>
    <x v="3"/>
    <x v="0"/>
    <x v="6"/>
    <x v="3"/>
    <n v="58.42"/>
    <n v="0.2"/>
    <x v="371"/>
    <n v="185.24"/>
    <x v="370"/>
    <n v="0.33944299825268337"/>
  </r>
  <r>
    <s v="SO-10373"/>
    <x v="130"/>
    <x v="1"/>
    <x v="2"/>
    <x v="6"/>
    <x v="4"/>
    <n v="225.92"/>
    <n v="0.1"/>
    <x v="372"/>
    <n v="1081.32"/>
    <x v="371"/>
    <n v="0.46819717603316763"/>
  </r>
  <r>
    <s v="SO-10374"/>
    <x v="220"/>
    <x v="3"/>
    <x v="1"/>
    <x v="0"/>
    <x v="5"/>
    <n v="377.75"/>
    <n v="0.05"/>
    <x v="373"/>
    <n v="341.42"/>
    <x v="372"/>
    <n v="0.52429916959259881"/>
  </r>
  <r>
    <s v="SO-10375"/>
    <x v="177"/>
    <x v="3"/>
    <x v="1"/>
    <x v="3"/>
    <x v="10"/>
    <n v="342.28"/>
    <n v="0.15"/>
    <x v="374"/>
    <n v="2363.65"/>
    <x v="373"/>
    <n v="0.26143092387924921"/>
  </r>
  <r>
    <s v="SO-10376"/>
    <x v="71"/>
    <x v="3"/>
    <x v="1"/>
    <x v="4"/>
    <x v="10"/>
    <n v="603.74"/>
    <n v="0"/>
    <x v="375"/>
    <n v="4856.46"/>
    <x v="374"/>
    <n v="0.26873537533992453"/>
  </r>
  <r>
    <s v="SO-10377"/>
    <x v="205"/>
    <x v="3"/>
    <x v="0"/>
    <x v="0"/>
    <x v="5"/>
    <n v="281.72000000000003"/>
    <n v="0.1"/>
    <x v="376"/>
    <n v="235.28"/>
    <x v="375"/>
    <n v="0.53603896744167701"/>
  </r>
  <r>
    <s v="SO-10378"/>
    <x v="221"/>
    <x v="3"/>
    <x v="2"/>
    <x v="1"/>
    <x v="5"/>
    <n v="775.35"/>
    <n v="0.1"/>
    <x v="377"/>
    <n v="830.27"/>
    <x v="376"/>
    <n v="0.40509304041902222"/>
  </r>
  <r>
    <s v="SO-10379"/>
    <x v="222"/>
    <x v="0"/>
    <x v="2"/>
    <x v="3"/>
    <x v="9"/>
    <n v="882.03"/>
    <n v="0.15"/>
    <x v="378"/>
    <n v="531.01"/>
    <x v="377"/>
    <n v="0.29172224297070909"/>
  </r>
  <r>
    <s v="SO-10380"/>
    <x v="164"/>
    <x v="0"/>
    <x v="2"/>
    <x v="7"/>
    <x v="1"/>
    <n v="315.02999999999997"/>
    <n v="0.1"/>
    <x v="379"/>
    <n v="1368.91"/>
    <x v="378"/>
    <n v="0.46353019555590391"/>
  </r>
  <r>
    <s v="SO-10381"/>
    <x v="223"/>
    <x v="1"/>
    <x v="0"/>
    <x v="0"/>
    <x v="4"/>
    <n v="884.63"/>
    <n v="0.05"/>
    <x v="380"/>
    <n v="6099.28"/>
    <x v="379"/>
    <n v="0.27424083769633506"/>
  </r>
  <r>
    <s v="SO-10382"/>
    <x v="224"/>
    <x v="3"/>
    <x v="1"/>
    <x v="7"/>
    <x v="7"/>
    <n v="258.02"/>
    <n v="0.05"/>
    <x v="381"/>
    <n v="519.78"/>
    <x v="380"/>
    <n v="0.29317613141862486"/>
  </r>
  <r>
    <s v="SO-10383"/>
    <x v="138"/>
    <x v="2"/>
    <x v="1"/>
    <x v="2"/>
    <x v="2"/>
    <n v="16.82"/>
    <n v="0.1"/>
    <x v="382"/>
    <n v="82.73"/>
    <x v="381"/>
    <n v="0.3169583883751651"/>
  </r>
  <r>
    <s v="SO-10384"/>
    <x v="1"/>
    <x v="2"/>
    <x v="2"/>
    <x v="0"/>
    <x v="2"/>
    <n v="295.22000000000003"/>
    <n v="0"/>
    <x v="383"/>
    <n v="1119.1300000000001"/>
    <x v="382"/>
    <n v="0.52615177471324714"/>
  </r>
  <r>
    <s v="SO-10385"/>
    <x v="54"/>
    <x v="0"/>
    <x v="1"/>
    <x v="1"/>
    <x v="10"/>
    <n v="570.09"/>
    <n v="0.15"/>
    <x v="384"/>
    <n v="3938.25"/>
    <x v="383"/>
    <n v="0.26116761125400301"/>
  </r>
  <r>
    <s v="SO-10386"/>
    <x v="225"/>
    <x v="2"/>
    <x v="2"/>
    <x v="6"/>
    <x v="0"/>
    <n v="532.65"/>
    <n v="0.1"/>
    <x v="385"/>
    <n v="1231.1300000000001"/>
    <x v="384"/>
    <n v="0.48636572239142223"/>
  </r>
  <r>
    <s v="SO-10387"/>
    <x v="226"/>
    <x v="3"/>
    <x v="2"/>
    <x v="0"/>
    <x v="10"/>
    <n v="773.7"/>
    <n v="0.2"/>
    <x v="386"/>
    <n v="5047"/>
    <x v="385"/>
    <n v="0.25872507174812809"/>
  </r>
  <r>
    <s v="SO-10388"/>
    <x v="227"/>
    <x v="3"/>
    <x v="0"/>
    <x v="1"/>
    <x v="9"/>
    <n v="109.77"/>
    <n v="0.05"/>
    <x v="387"/>
    <n v="61.3"/>
    <x v="386"/>
    <n v="0.41215957038741846"/>
  </r>
  <r>
    <s v="SO-10389"/>
    <x v="218"/>
    <x v="2"/>
    <x v="1"/>
    <x v="4"/>
    <x v="0"/>
    <n v="377.6"/>
    <n v="0.05"/>
    <x v="388"/>
    <n v="1301.1300000000001"/>
    <x v="387"/>
    <n v="0.27457069580731491"/>
  </r>
  <r>
    <s v="SO-10390"/>
    <x v="120"/>
    <x v="0"/>
    <x v="2"/>
    <x v="6"/>
    <x v="5"/>
    <n v="123.73"/>
    <n v="0.05"/>
    <x v="389"/>
    <n v="172.53"/>
    <x v="388"/>
    <n v="0.26611085116338423"/>
  </r>
  <r>
    <s v="SO-10391"/>
    <x v="191"/>
    <x v="3"/>
    <x v="2"/>
    <x v="4"/>
    <x v="4"/>
    <n v="795.01"/>
    <n v="0.2"/>
    <x v="390"/>
    <n v="4754.05"/>
    <x v="389"/>
    <n v="0.25251451634966282"/>
  </r>
  <r>
    <s v="SO-10392"/>
    <x v="81"/>
    <x v="1"/>
    <x v="0"/>
    <x v="5"/>
    <x v="4"/>
    <n v="867.32"/>
    <n v="0.1"/>
    <x v="391"/>
    <n v="5092.7"/>
    <x v="390"/>
    <n v="0.34758284780191345"/>
  </r>
  <r>
    <s v="SO-10393"/>
    <x v="205"/>
    <x v="2"/>
    <x v="2"/>
    <x v="0"/>
    <x v="6"/>
    <n v="583.79999999999995"/>
    <n v="0.1"/>
    <x v="392"/>
    <n v="1507.18"/>
    <x v="391"/>
    <n v="0.28286894294088538"/>
  </r>
  <r>
    <s v="SO-10394"/>
    <x v="228"/>
    <x v="1"/>
    <x v="0"/>
    <x v="5"/>
    <x v="0"/>
    <n v="807.72"/>
    <n v="0.05"/>
    <x v="393"/>
    <n v="2469.31"/>
    <x v="392"/>
    <n v="0.35639574737599339"/>
  </r>
  <r>
    <s v="SO-10395"/>
    <x v="203"/>
    <x v="2"/>
    <x v="2"/>
    <x v="2"/>
    <x v="1"/>
    <n v="694.45"/>
    <n v="0.05"/>
    <x v="394"/>
    <n v="3663.39"/>
    <x v="393"/>
    <n v="0.3830173521580304"/>
  </r>
  <r>
    <s v="SO-10396"/>
    <x v="229"/>
    <x v="0"/>
    <x v="2"/>
    <x v="3"/>
    <x v="7"/>
    <n v="85.61"/>
    <n v="0"/>
    <x v="395"/>
    <n v="177.56"/>
    <x v="394"/>
    <n v="0.30871359601308213"/>
  </r>
  <r>
    <s v="SO-10397"/>
    <x v="173"/>
    <x v="1"/>
    <x v="0"/>
    <x v="7"/>
    <x v="3"/>
    <n v="33.54"/>
    <n v="0"/>
    <x v="396"/>
    <n v="105.98"/>
    <x v="395"/>
    <n v="0.47328927098345175"/>
  </r>
  <r>
    <s v="SO-10398"/>
    <x v="230"/>
    <x v="2"/>
    <x v="1"/>
    <x v="1"/>
    <x v="9"/>
    <n v="807.72"/>
    <n v="0"/>
    <x v="397"/>
    <n v="364.76"/>
    <x v="396"/>
    <n v="0.54840786411132569"/>
  </r>
  <r>
    <s v="SO-10399"/>
    <x v="216"/>
    <x v="3"/>
    <x v="1"/>
    <x v="3"/>
    <x v="7"/>
    <n v="142.75"/>
    <n v="0"/>
    <x v="398"/>
    <n v="252.51"/>
    <x v="397"/>
    <n v="0.41036777583187395"/>
  </r>
  <r>
    <s v="SO-10400"/>
    <x v="231"/>
    <x v="1"/>
    <x v="0"/>
    <x v="3"/>
    <x v="10"/>
    <n v="105.32"/>
    <n v="0"/>
    <x v="399"/>
    <n v="663.84"/>
    <x v="398"/>
    <n v="0.4269782216505969"/>
  </r>
  <r>
    <s v="SO-10401"/>
    <x v="54"/>
    <x v="1"/>
    <x v="2"/>
    <x v="3"/>
    <x v="5"/>
    <n v="246.03"/>
    <n v="0.15"/>
    <x v="400"/>
    <n v="289.3"/>
    <x v="399"/>
    <n v="0.30829188982402445"/>
  </r>
  <r>
    <s v="SO-10402"/>
    <x v="230"/>
    <x v="2"/>
    <x v="2"/>
    <x v="2"/>
    <x v="0"/>
    <n v="627.51"/>
    <n v="0.1"/>
    <x v="401"/>
    <n v="1892"/>
    <x v="400"/>
    <n v="0.3299844181599263"/>
  </r>
  <r>
    <s v="SO-10403"/>
    <x v="72"/>
    <x v="2"/>
    <x v="1"/>
    <x v="7"/>
    <x v="7"/>
    <n v="711.67"/>
    <n v="0"/>
    <x v="402"/>
    <n v="1562.8"/>
    <x v="401"/>
    <n v="0.26801279619299206"/>
  </r>
  <r>
    <s v="SO-10404"/>
    <x v="167"/>
    <x v="1"/>
    <x v="1"/>
    <x v="6"/>
    <x v="3"/>
    <n v="734.78"/>
    <n v="0"/>
    <x v="403"/>
    <n v="3469.04"/>
    <x v="402"/>
    <n v="0.21313100382203171"/>
  </r>
  <r>
    <s v="SO-10405"/>
    <x v="25"/>
    <x v="2"/>
    <x v="1"/>
    <x v="1"/>
    <x v="5"/>
    <n v="688.74"/>
    <n v="0.15"/>
    <x v="404"/>
    <n v="663.73"/>
    <x v="403"/>
    <n v="0.43312607826725658"/>
  </r>
  <r>
    <s v="SO-10406"/>
    <x v="162"/>
    <x v="0"/>
    <x v="0"/>
    <x v="1"/>
    <x v="3"/>
    <n v="569.78"/>
    <n v="0.15"/>
    <x v="405"/>
    <n v="1649.8"/>
    <x v="404"/>
    <n v="0.43225850855156744"/>
  </r>
  <r>
    <s v="SO-10407"/>
    <x v="164"/>
    <x v="1"/>
    <x v="1"/>
    <x v="3"/>
    <x v="9"/>
    <n v="402.64"/>
    <n v="0"/>
    <x v="406"/>
    <n v="269.38"/>
    <x v="405"/>
    <n v="0.33096562686270614"/>
  </r>
  <r>
    <s v="SO-10408"/>
    <x v="118"/>
    <x v="2"/>
    <x v="1"/>
    <x v="5"/>
    <x v="4"/>
    <n v="811.12"/>
    <n v="0"/>
    <x v="407"/>
    <n v="4286.3900000000003"/>
    <x v="406"/>
    <n v="0.47154609866123226"/>
  </r>
  <r>
    <s v="SO-10409"/>
    <x v="101"/>
    <x v="1"/>
    <x v="2"/>
    <x v="2"/>
    <x v="5"/>
    <n v="436.19"/>
    <n v="0.1"/>
    <x v="408"/>
    <n v="417.05"/>
    <x v="407"/>
    <n v="0.46882084723743533"/>
  </r>
  <r>
    <s v="SO-10410"/>
    <x v="192"/>
    <x v="2"/>
    <x v="2"/>
    <x v="1"/>
    <x v="10"/>
    <n v="209.81"/>
    <n v="0.15"/>
    <x v="409"/>
    <n v="1164.03"/>
    <x v="408"/>
    <n v="0.40662085559316502"/>
  </r>
  <r>
    <s v="SO-10411"/>
    <x v="232"/>
    <x v="0"/>
    <x v="0"/>
    <x v="2"/>
    <x v="1"/>
    <n v="711.5"/>
    <n v="0"/>
    <x v="410"/>
    <n v="3490.35"/>
    <x v="409"/>
    <n v="0.4549300459593128"/>
  </r>
  <r>
    <s v="SO-10412"/>
    <x v="233"/>
    <x v="2"/>
    <x v="0"/>
    <x v="3"/>
    <x v="9"/>
    <n v="571.84"/>
    <n v="0.1"/>
    <x v="411"/>
    <n v="359.86"/>
    <x v="410"/>
    <n v="0.30078109820075394"/>
  </r>
  <r>
    <s v="SO-10413"/>
    <x v="234"/>
    <x v="2"/>
    <x v="2"/>
    <x v="4"/>
    <x v="5"/>
    <n v="404.54"/>
    <n v="0.05"/>
    <x v="412"/>
    <n v="501.46"/>
    <x v="411"/>
    <n v="0.34759246971885044"/>
  </r>
  <r>
    <s v="SO-10414"/>
    <x v="235"/>
    <x v="2"/>
    <x v="1"/>
    <x v="3"/>
    <x v="5"/>
    <n v="66.11"/>
    <n v="0.05"/>
    <x v="413"/>
    <n v="92.26"/>
    <x v="412"/>
    <n v="0.26550433882652658"/>
  </r>
  <r>
    <s v="SO-10415"/>
    <x v="32"/>
    <x v="3"/>
    <x v="1"/>
    <x v="7"/>
    <x v="6"/>
    <n v="661.24"/>
    <n v="0"/>
    <x v="414"/>
    <n v="2081.59"/>
    <x v="413"/>
    <n v="0.21299755005746779"/>
  </r>
  <r>
    <s v="SO-10416"/>
    <x v="158"/>
    <x v="3"/>
    <x v="2"/>
    <x v="2"/>
    <x v="7"/>
    <n v="617.39"/>
    <n v="0.2"/>
    <x v="415"/>
    <n v="713.36"/>
    <x v="414"/>
    <n v="0.51856601023121462"/>
  </r>
  <r>
    <s v="SO-10417"/>
    <x v="166"/>
    <x v="2"/>
    <x v="0"/>
    <x v="2"/>
    <x v="2"/>
    <n v="387.56"/>
    <n v="0.05"/>
    <x v="416"/>
    <n v="1452.73"/>
    <x v="415"/>
    <n v="0.50678341289187956"/>
  </r>
  <r>
    <s v="SO-10418"/>
    <x v="139"/>
    <x v="2"/>
    <x v="1"/>
    <x v="3"/>
    <x v="1"/>
    <n v="279.61"/>
    <n v="0.05"/>
    <x v="417"/>
    <n v="1667.25"/>
    <x v="416"/>
    <n v="0.30259844561752824"/>
  </r>
  <r>
    <s v="SO-10419"/>
    <x v="236"/>
    <x v="3"/>
    <x v="1"/>
    <x v="6"/>
    <x v="8"/>
    <n v="143.38999999999999"/>
    <n v="0.2"/>
    <x v="418"/>
    <n v="524.04999999999995"/>
    <x v="417"/>
    <n v="0.34739293408550326"/>
  </r>
  <r>
    <s v="SO-10420"/>
    <x v="208"/>
    <x v="3"/>
    <x v="0"/>
    <x v="2"/>
    <x v="6"/>
    <n v="738.38"/>
    <n v="0.05"/>
    <x v="419"/>
    <n v="1359.22"/>
    <x v="418"/>
    <n v="0.5155763850526579"/>
  </r>
  <r>
    <s v="SO-10421"/>
    <x v="234"/>
    <x v="2"/>
    <x v="0"/>
    <x v="4"/>
    <x v="10"/>
    <n v="867.36"/>
    <n v="0.2"/>
    <x v="420"/>
    <n v="4677.93"/>
    <x v="419"/>
    <n v="0.38712339966145931"/>
  </r>
  <r>
    <s v="SO-10422"/>
    <x v="231"/>
    <x v="1"/>
    <x v="1"/>
    <x v="7"/>
    <x v="1"/>
    <n v="54.33"/>
    <n v="0"/>
    <x v="421"/>
    <n v="318.81"/>
    <x v="420"/>
    <n v="0.34794346839015811"/>
  </r>
  <r>
    <s v="SO-10423"/>
    <x v="209"/>
    <x v="3"/>
    <x v="1"/>
    <x v="4"/>
    <x v="7"/>
    <n v="677.63"/>
    <n v="0.15"/>
    <x v="422"/>
    <n v="866.54"/>
    <x v="421"/>
    <n v="0.49851558204809165"/>
  </r>
  <r>
    <s v="SO-10424"/>
    <x v="44"/>
    <x v="3"/>
    <x v="0"/>
    <x v="6"/>
    <x v="1"/>
    <n v="230.64"/>
    <n v="0.05"/>
    <x v="423"/>
    <n v="1258.1500000000001"/>
    <x v="422"/>
    <n v="0.3619716524252643"/>
  </r>
  <r>
    <s v="SO-10425"/>
    <x v="164"/>
    <x v="2"/>
    <x v="2"/>
    <x v="3"/>
    <x v="1"/>
    <n v="888.01"/>
    <n v="0.05"/>
    <x v="424"/>
    <n v="5857.4"/>
    <x v="423"/>
    <n v="0.22852277127571299"/>
  </r>
  <r>
    <s v="SO-10426"/>
    <x v="237"/>
    <x v="3"/>
    <x v="1"/>
    <x v="4"/>
    <x v="3"/>
    <n v="854.56"/>
    <n v="0.15"/>
    <x v="425"/>
    <n v="3171.44"/>
    <x v="424"/>
    <n v="0.27231676789184694"/>
  </r>
  <r>
    <s v="SO-10427"/>
    <x v="238"/>
    <x v="1"/>
    <x v="0"/>
    <x v="2"/>
    <x v="10"/>
    <n v="207.08"/>
    <n v="0.05"/>
    <x v="426"/>
    <n v="1304.95"/>
    <x v="425"/>
    <n v="0.39697877099102596"/>
  </r>
  <r>
    <s v="SO-10428"/>
    <x v="239"/>
    <x v="1"/>
    <x v="2"/>
    <x v="6"/>
    <x v="9"/>
    <n v="632.45000000000005"/>
    <n v="0.05"/>
    <x v="427"/>
    <n v="383.48"/>
    <x v="426"/>
    <n v="0.36174957974801519"/>
  </r>
  <r>
    <s v="SO-10429"/>
    <x v="178"/>
    <x v="1"/>
    <x v="0"/>
    <x v="4"/>
    <x v="6"/>
    <n v="237.25"/>
    <n v="0.1"/>
    <x v="428"/>
    <n v="436.43"/>
    <x v="427"/>
    <n v="0.48902938765952464"/>
  </r>
  <r>
    <s v="SO-10430"/>
    <x v="32"/>
    <x v="1"/>
    <x v="0"/>
    <x v="7"/>
    <x v="3"/>
    <n v="84.09"/>
    <n v="0.1"/>
    <x v="429"/>
    <n v="212.02"/>
    <x v="428"/>
    <n v="0.53308815433063927"/>
  </r>
  <r>
    <s v="SO-10431"/>
    <x v="223"/>
    <x v="0"/>
    <x v="1"/>
    <x v="7"/>
    <x v="4"/>
    <n v="518.13"/>
    <n v="0"/>
    <x v="430"/>
    <n v="3004.08"/>
    <x v="429"/>
    <n v="0.4202117598922287"/>
  </r>
  <r>
    <s v="SO-10432"/>
    <x v="90"/>
    <x v="2"/>
    <x v="2"/>
    <x v="0"/>
    <x v="10"/>
    <n v="41.71"/>
    <n v="0"/>
    <x v="431"/>
    <n v="307.39999999999998"/>
    <x v="430"/>
    <n v="0.33000588478891041"/>
  </r>
  <r>
    <s v="SO-10433"/>
    <x v="73"/>
    <x v="3"/>
    <x v="0"/>
    <x v="1"/>
    <x v="6"/>
    <n v="285.86"/>
    <n v="0"/>
    <x v="432"/>
    <n v="566.86"/>
    <x v="431"/>
    <n v="0.50424599669415704"/>
  </r>
  <r>
    <s v="SO-10434"/>
    <x v="208"/>
    <x v="2"/>
    <x v="0"/>
    <x v="2"/>
    <x v="0"/>
    <n v="341.16"/>
    <n v="0.05"/>
    <x v="433"/>
    <n v="1217.02"/>
    <x v="432"/>
    <n v="0.2489941500259176"/>
  </r>
  <r>
    <s v="SO-10435"/>
    <x v="99"/>
    <x v="1"/>
    <x v="2"/>
    <x v="6"/>
    <x v="6"/>
    <n v="86.56"/>
    <n v="0"/>
    <x v="434"/>
    <n v="179.81"/>
    <x v="433"/>
    <n v="0.48067925836076936"/>
  </r>
  <r>
    <s v="SO-10436"/>
    <x v="240"/>
    <x v="0"/>
    <x v="0"/>
    <x v="5"/>
    <x v="7"/>
    <n v="796.52"/>
    <n v="0.15"/>
    <x v="435"/>
    <n v="928.8"/>
    <x v="434"/>
    <n v="0.54271760054747842"/>
  </r>
  <r>
    <s v="SO-10437"/>
    <x v="241"/>
    <x v="1"/>
    <x v="0"/>
    <x v="1"/>
    <x v="6"/>
    <n v="833.91"/>
    <n v="0.05"/>
    <x v="436"/>
    <n v="2126.71"/>
    <x v="435"/>
    <n v="0.32887433059734233"/>
  </r>
  <r>
    <s v="SO-10438"/>
    <x v="136"/>
    <x v="0"/>
    <x v="0"/>
    <x v="1"/>
    <x v="0"/>
    <n v="534.87"/>
    <n v="0"/>
    <x v="437"/>
    <n v="1882.25"/>
    <x v="436"/>
    <n v="0.29617885601253402"/>
  </r>
  <r>
    <s v="SO-10439"/>
    <x v="76"/>
    <x v="1"/>
    <x v="1"/>
    <x v="2"/>
    <x v="0"/>
    <n v="670.06"/>
    <n v="0"/>
    <x v="438"/>
    <n v="2139.54"/>
    <x v="437"/>
    <n v="0.36138472008309752"/>
  </r>
  <r>
    <s v="SO-10440"/>
    <x v="242"/>
    <x v="2"/>
    <x v="1"/>
    <x v="6"/>
    <x v="4"/>
    <n v="194.53"/>
    <n v="0"/>
    <x v="439"/>
    <n v="1067.53"/>
    <x v="438"/>
    <n v="0.451211926487598"/>
  </r>
  <r>
    <s v="SO-10441"/>
    <x v="243"/>
    <x v="3"/>
    <x v="1"/>
    <x v="2"/>
    <x v="10"/>
    <n v="635.02"/>
    <n v="0.2"/>
    <x v="440"/>
    <n v="4292.8900000000003"/>
    <x v="439"/>
    <n v="0.23178690622120024"/>
  </r>
  <r>
    <s v="SO-10442"/>
    <x v="33"/>
    <x v="0"/>
    <x v="0"/>
    <x v="2"/>
    <x v="10"/>
    <n v="665.71"/>
    <n v="0.15"/>
    <x v="441"/>
    <n v="4445.92"/>
    <x v="440"/>
    <n v="0.28572300722163757"/>
  </r>
  <r>
    <s v="SO-10443"/>
    <x v="141"/>
    <x v="2"/>
    <x v="2"/>
    <x v="3"/>
    <x v="8"/>
    <n v="277.41000000000003"/>
    <n v="0.1"/>
    <x v="442"/>
    <n v="1020.02"/>
    <x v="441"/>
    <n v="0.416361025124593"/>
  </r>
  <r>
    <s v="SO-10444"/>
    <x v="230"/>
    <x v="1"/>
    <x v="2"/>
    <x v="2"/>
    <x v="10"/>
    <n v="341.47"/>
    <n v="0.05"/>
    <x v="443"/>
    <n v="2300.56"/>
    <x v="442"/>
    <n v="0.35529829812157232"/>
  </r>
  <r>
    <s v="SO-10445"/>
    <x v="182"/>
    <x v="2"/>
    <x v="0"/>
    <x v="2"/>
    <x v="4"/>
    <n v="680.25"/>
    <n v="0.1"/>
    <x v="444"/>
    <n v="3859.03"/>
    <x v="443"/>
    <n v="0.3696717067362269"/>
  </r>
  <r>
    <s v="SO-10446"/>
    <x v="16"/>
    <x v="0"/>
    <x v="1"/>
    <x v="2"/>
    <x v="7"/>
    <n v="217.83"/>
    <n v="0.05"/>
    <x v="445"/>
    <n v="406.3"/>
    <x v="444"/>
    <n v="0.34554299152733481"/>
  </r>
  <r>
    <s v="SO-10447"/>
    <x v="244"/>
    <x v="3"/>
    <x v="0"/>
    <x v="2"/>
    <x v="4"/>
    <n v="314.20999999999998"/>
    <n v="0.05"/>
    <x v="446"/>
    <n v="1704.58"/>
    <x v="445"/>
    <n v="0.42894424753264682"/>
  </r>
  <r>
    <s v="SO-10448"/>
    <x v="245"/>
    <x v="2"/>
    <x v="0"/>
    <x v="5"/>
    <x v="5"/>
    <n v="87.76"/>
    <n v="0"/>
    <x v="447"/>
    <n v="119.78"/>
    <x v="446"/>
    <n v="0.31757064721969008"/>
  </r>
  <r>
    <s v="SO-10449"/>
    <x v="246"/>
    <x v="3"/>
    <x v="2"/>
    <x v="0"/>
    <x v="1"/>
    <n v="144.81"/>
    <n v="0"/>
    <x v="448"/>
    <n v="960.82"/>
    <x v="447"/>
    <n v="0.2627770829656797"/>
  </r>
  <r>
    <s v="SO-10450"/>
    <x v="197"/>
    <x v="1"/>
    <x v="2"/>
    <x v="1"/>
    <x v="10"/>
    <n v="85.29"/>
    <n v="0.1"/>
    <x v="449"/>
    <n v="619.22"/>
    <x v="448"/>
    <n v="0.26669193055588453"/>
  </r>
  <r>
    <s v="SO-10451"/>
    <x v="239"/>
    <x v="2"/>
    <x v="1"/>
    <x v="5"/>
    <x v="6"/>
    <n v="752.44"/>
    <n v="0"/>
    <x v="450"/>
    <n v="1621.98"/>
    <x v="449"/>
    <n v="0.46109656583913661"/>
  </r>
  <r>
    <s v="SO-10452"/>
    <x v="220"/>
    <x v="1"/>
    <x v="1"/>
    <x v="3"/>
    <x v="1"/>
    <n v="248.34"/>
    <n v="0.05"/>
    <x v="451"/>
    <n v="1598.4"/>
    <x v="450"/>
    <n v="0.24721307769473133"/>
  </r>
  <r>
    <s v="SO-10453"/>
    <x v="195"/>
    <x v="3"/>
    <x v="2"/>
    <x v="4"/>
    <x v="4"/>
    <n v="496.73"/>
    <n v="0.2"/>
    <x v="452"/>
    <n v="2581.06"/>
    <x v="451"/>
    <n v="0.35049208957514966"/>
  </r>
  <r>
    <s v="SO-10454"/>
    <x v="109"/>
    <x v="1"/>
    <x v="2"/>
    <x v="0"/>
    <x v="9"/>
    <n v="766.53"/>
    <n v="0.05"/>
    <x v="453"/>
    <n v="528.67999999999995"/>
    <x v="452"/>
    <n v="0.27398689938341964"/>
  </r>
  <r>
    <s v="SO-10455"/>
    <x v="221"/>
    <x v="3"/>
    <x v="2"/>
    <x v="5"/>
    <x v="10"/>
    <n v="278.18"/>
    <n v="0"/>
    <x v="454"/>
    <n v="2345.0500000000002"/>
    <x v="453"/>
    <n v="0.23364629527354486"/>
  </r>
  <r>
    <s v="SO-10456"/>
    <x v="62"/>
    <x v="2"/>
    <x v="0"/>
    <x v="2"/>
    <x v="0"/>
    <n v="705.17"/>
    <n v="0.2"/>
    <x v="455"/>
    <n v="1453.76"/>
    <x v="454"/>
    <n v="0.48461020314106434"/>
  </r>
  <r>
    <s v="SO-10457"/>
    <x v="156"/>
    <x v="1"/>
    <x v="0"/>
    <x v="0"/>
    <x v="9"/>
    <n v="882.92"/>
    <n v="0.1"/>
    <x v="456"/>
    <n v="530.91999999999996"/>
    <x v="455"/>
    <n v="0.33186514478436502"/>
  </r>
  <r>
    <s v="SO-10458"/>
    <x v="247"/>
    <x v="0"/>
    <x v="1"/>
    <x v="5"/>
    <x v="3"/>
    <n v="249.86"/>
    <n v="0.05"/>
    <x v="457"/>
    <n v="807.91"/>
    <x v="456"/>
    <n v="0.43273511114855845"/>
  </r>
  <r>
    <s v="SO-10459"/>
    <x v="20"/>
    <x v="0"/>
    <x v="0"/>
    <x v="0"/>
    <x v="5"/>
    <n v="538.15"/>
    <n v="0.05"/>
    <x v="458"/>
    <n v="513.1"/>
    <x v="457"/>
    <n v="0.49817111337141068"/>
  </r>
  <r>
    <s v="SO-10460"/>
    <x v="1"/>
    <x v="3"/>
    <x v="2"/>
    <x v="7"/>
    <x v="4"/>
    <n v="171.49"/>
    <n v="0.05"/>
    <x v="459"/>
    <n v="1286.6099999999999"/>
    <x v="458"/>
    <n v="0.21023749163653777"/>
  </r>
  <r>
    <s v="SO-10461"/>
    <x v="248"/>
    <x v="1"/>
    <x v="0"/>
    <x v="5"/>
    <x v="0"/>
    <n v="156.83000000000001"/>
    <n v="0"/>
    <x v="460"/>
    <n v="417.2"/>
    <x v="459"/>
    <n v="0.46796572128137115"/>
  </r>
  <r>
    <s v="SO-10462"/>
    <x v="159"/>
    <x v="0"/>
    <x v="0"/>
    <x v="7"/>
    <x v="6"/>
    <n v="417.14"/>
    <n v="0.05"/>
    <x v="461"/>
    <n v="1162.4100000000001"/>
    <x v="460"/>
    <n v="0.2666738164933885"/>
  </r>
  <r>
    <s v="SO-10463"/>
    <x v="216"/>
    <x v="0"/>
    <x v="2"/>
    <x v="6"/>
    <x v="7"/>
    <n v="768.13"/>
    <n v="0.1"/>
    <x v="462"/>
    <n v="1007.1"/>
    <x v="461"/>
    <n v="0.51440253816407411"/>
  </r>
  <r>
    <s v="SO-10464"/>
    <x v="112"/>
    <x v="0"/>
    <x v="0"/>
    <x v="2"/>
    <x v="0"/>
    <n v="591.70000000000005"/>
    <n v="0.05"/>
    <x v="463"/>
    <n v="1847.77"/>
    <x v="462"/>
    <n v="0.34256396389344507"/>
  </r>
  <r>
    <s v="SO-10465"/>
    <x v="226"/>
    <x v="0"/>
    <x v="1"/>
    <x v="3"/>
    <x v="3"/>
    <n v="436.29"/>
    <n v="0.05"/>
    <x v="464"/>
    <n v="1539.96"/>
    <x v="463"/>
    <n v="0.38076377132700945"/>
  </r>
  <r>
    <s v="SO-10466"/>
    <x v="89"/>
    <x v="1"/>
    <x v="2"/>
    <x v="7"/>
    <x v="2"/>
    <n v="476.94"/>
    <n v="0.15"/>
    <x v="465"/>
    <n v="1508.45"/>
    <x v="464"/>
    <n v="0.53488694772739187"/>
  </r>
  <r>
    <s v="SO-10467"/>
    <x v="216"/>
    <x v="2"/>
    <x v="1"/>
    <x v="0"/>
    <x v="2"/>
    <n v="679.26"/>
    <n v="0"/>
    <x v="466"/>
    <n v="3864.5"/>
    <x v="465"/>
    <n v="0.28884398733187217"/>
  </r>
  <r>
    <s v="SO-10468"/>
    <x v="249"/>
    <x v="3"/>
    <x v="2"/>
    <x v="4"/>
    <x v="3"/>
    <n v="554.69000000000005"/>
    <n v="0.15"/>
    <x v="467"/>
    <n v="1850.19"/>
    <x v="466"/>
    <n v="0.34597533342995412"/>
  </r>
  <r>
    <s v="SO-10469"/>
    <x v="25"/>
    <x v="3"/>
    <x v="1"/>
    <x v="1"/>
    <x v="0"/>
    <n v="494.61"/>
    <n v="0.05"/>
    <x v="468"/>
    <n v="1652.02"/>
    <x v="467"/>
    <n v="0.29683024104129158"/>
  </r>
  <r>
    <s v="SO-10470"/>
    <x v="250"/>
    <x v="0"/>
    <x v="2"/>
    <x v="1"/>
    <x v="3"/>
    <n v="677.95"/>
    <n v="0.1"/>
    <x v="469"/>
    <n v="2756.72"/>
    <x v="468"/>
    <n v="0.24699120990783788"/>
  </r>
  <r>
    <s v="SO-10471"/>
    <x v="251"/>
    <x v="0"/>
    <x v="1"/>
    <x v="2"/>
    <x v="9"/>
    <n v="233.73"/>
    <n v="0"/>
    <x v="470"/>
    <n v="169.02"/>
    <x v="469"/>
    <n v="0.27685791297651136"/>
  </r>
  <r>
    <s v="SO-10472"/>
    <x v="252"/>
    <x v="2"/>
    <x v="2"/>
    <x v="1"/>
    <x v="2"/>
    <n v="651.69000000000005"/>
    <n v="0.15"/>
    <x v="471"/>
    <n v="2221.09"/>
    <x v="470"/>
    <n v="0.49879724698183459"/>
  </r>
  <r>
    <s v="SO-10473"/>
    <x v="253"/>
    <x v="0"/>
    <x v="0"/>
    <x v="5"/>
    <x v="2"/>
    <n v="273.70999999999998"/>
    <n v="0.05"/>
    <x v="472"/>
    <n v="1013.91"/>
    <x v="471"/>
    <n v="0.51259716473659156"/>
  </r>
  <r>
    <s v="SO-10474"/>
    <x v="91"/>
    <x v="0"/>
    <x v="2"/>
    <x v="6"/>
    <x v="2"/>
    <n v="344.55"/>
    <n v="0"/>
    <x v="473"/>
    <n v="1482.03"/>
    <x v="472"/>
    <n v="0.46233547619393134"/>
  </r>
  <r>
    <s v="SO-10475"/>
    <x v="248"/>
    <x v="2"/>
    <x v="1"/>
    <x v="2"/>
    <x v="1"/>
    <n v="501.67"/>
    <n v="0"/>
    <x v="474"/>
    <n v="3568.39"/>
    <x v="473"/>
    <n v="0.20965716424621098"/>
  </r>
  <r>
    <s v="SO-10476"/>
    <x v="152"/>
    <x v="0"/>
    <x v="0"/>
    <x v="1"/>
    <x v="6"/>
    <n v="378.58"/>
    <n v="0.1"/>
    <x v="475"/>
    <n v="814.69"/>
    <x v="474"/>
    <n v="0.40223348912971701"/>
  </r>
  <r>
    <s v="SO-10477"/>
    <x v="78"/>
    <x v="1"/>
    <x v="1"/>
    <x v="7"/>
    <x v="10"/>
    <n v="521.98"/>
    <n v="0.15"/>
    <x v="476"/>
    <n v="3339.3"/>
    <x v="475"/>
    <n v="0.3157943264591081"/>
  </r>
  <r>
    <s v="SO-10478"/>
    <x v="94"/>
    <x v="0"/>
    <x v="2"/>
    <x v="6"/>
    <x v="7"/>
    <n v="388"/>
    <n v="0"/>
    <x v="477"/>
    <n v="747.85"/>
    <x v="476"/>
    <n v="0.35753129268648898"/>
  </r>
  <r>
    <s v="SO-10479"/>
    <x v="4"/>
    <x v="3"/>
    <x v="1"/>
    <x v="6"/>
    <x v="7"/>
    <n v="62.14"/>
    <n v="0.05"/>
    <x v="478"/>
    <n v="137.59"/>
    <x v="477"/>
    <n v="0.22313816272373102"/>
  </r>
  <r>
    <s v="SO-10480"/>
    <x v="191"/>
    <x v="1"/>
    <x v="0"/>
    <x v="7"/>
    <x v="4"/>
    <n v="502.47"/>
    <n v="0.05"/>
    <x v="479"/>
    <n v="3147.05"/>
    <x v="478"/>
    <n v="0.34072483502670997"/>
  </r>
  <r>
    <s v="SO-10481"/>
    <x v="33"/>
    <x v="0"/>
    <x v="2"/>
    <x v="1"/>
    <x v="6"/>
    <n v="538.73"/>
    <n v="0.1"/>
    <x v="480"/>
    <n v="1129.31"/>
    <x v="479"/>
    <n v="0.41770735580740631"/>
  </r>
  <r>
    <s v="SO-10482"/>
    <x v="75"/>
    <x v="1"/>
    <x v="1"/>
    <x v="2"/>
    <x v="0"/>
    <n v="196.53"/>
    <n v="0.2"/>
    <x v="481"/>
    <n v="359.49"/>
    <x v="480"/>
    <n v="0.54269758685171288"/>
  </r>
  <r>
    <s v="SO-10483"/>
    <x v="99"/>
    <x v="2"/>
    <x v="0"/>
    <x v="2"/>
    <x v="6"/>
    <n v="350.14"/>
    <n v="0"/>
    <x v="482"/>
    <n v="947.39"/>
    <x v="481"/>
    <n v="0.32355377211646935"/>
  </r>
  <r>
    <s v="SO-10484"/>
    <x v="79"/>
    <x v="0"/>
    <x v="0"/>
    <x v="7"/>
    <x v="2"/>
    <n v="369.33"/>
    <n v="0.2"/>
    <x v="483"/>
    <n v="1284.1400000000001"/>
    <x v="482"/>
    <n v="0.45673152178971366"/>
  </r>
  <r>
    <s v="SO-10485"/>
    <x v="251"/>
    <x v="1"/>
    <x v="0"/>
    <x v="4"/>
    <x v="3"/>
    <n v="757.9"/>
    <n v="0.1"/>
    <x v="484"/>
    <n v="3213.92"/>
    <x v="483"/>
    <n v="0.21471313348009979"/>
  </r>
  <r>
    <s v="SO-10486"/>
    <x v="78"/>
    <x v="2"/>
    <x v="0"/>
    <x v="0"/>
    <x v="2"/>
    <n v="617.99"/>
    <n v="0.1"/>
    <x v="485"/>
    <n v="2325.7399999999998"/>
    <x v="484"/>
    <n v="0.47730659193218161"/>
  </r>
  <r>
    <s v="SO-10487"/>
    <x v="254"/>
    <x v="3"/>
    <x v="0"/>
    <x v="5"/>
    <x v="6"/>
    <n v="420.55"/>
    <n v="0"/>
    <x v="486"/>
    <n v="1201.75"/>
    <x v="485"/>
    <n v="0.28560388541127935"/>
  </r>
  <r>
    <s v="SO-10488"/>
    <x v="255"/>
    <x v="1"/>
    <x v="0"/>
    <x v="3"/>
    <x v="8"/>
    <n v="611.29"/>
    <n v="0.1"/>
    <x v="487"/>
    <n v="2857.89"/>
    <x v="486"/>
    <n v="0.25790226713856523"/>
  </r>
  <r>
    <s v="SO-10489"/>
    <x v="218"/>
    <x v="3"/>
    <x v="2"/>
    <x v="2"/>
    <x v="0"/>
    <n v="403.93"/>
    <n v="0"/>
    <x v="488"/>
    <n v="942.49"/>
    <x v="487"/>
    <n v="0.53333993513727629"/>
  </r>
  <r>
    <s v="SO-10490"/>
    <x v="50"/>
    <x v="1"/>
    <x v="1"/>
    <x v="2"/>
    <x v="0"/>
    <n v="221.64"/>
    <n v="0.1"/>
    <x v="489"/>
    <n v="571.36"/>
    <x v="488"/>
    <n v="0.42715059153799884"/>
  </r>
  <r>
    <s v="SO-10491"/>
    <x v="256"/>
    <x v="2"/>
    <x v="1"/>
    <x v="6"/>
    <x v="0"/>
    <n v="426.01"/>
    <n v="0.05"/>
    <x v="490"/>
    <n v="1308.9100000000001"/>
    <x v="489"/>
    <n v="0.35316966138883948"/>
  </r>
  <r>
    <s v="SO-10492"/>
    <x v="172"/>
    <x v="1"/>
    <x v="0"/>
    <x v="3"/>
    <x v="8"/>
    <n v="443.09"/>
    <n v="0.15"/>
    <x v="491"/>
    <n v="1271.29"/>
    <x v="490"/>
    <n v="0.51779137381039986"/>
  </r>
  <r>
    <s v="SO-10493"/>
    <x v="257"/>
    <x v="2"/>
    <x v="1"/>
    <x v="2"/>
    <x v="1"/>
    <n v="409.11"/>
    <n v="0.15"/>
    <x v="492"/>
    <n v="1996.62"/>
    <x v="491"/>
    <n v="0.36203905179107193"/>
  </r>
  <r>
    <s v="SO-10494"/>
    <x v="155"/>
    <x v="2"/>
    <x v="2"/>
    <x v="2"/>
    <x v="4"/>
    <n v="317.19"/>
    <n v="0.05"/>
    <x v="493"/>
    <n v="1581.27"/>
    <x v="492"/>
    <n v="0.47523993468997644"/>
  </r>
  <r>
    <s v="SO-10495"/>
    <x v="258"/>
    <x v="0"/>
    <x v="2"/>
    <x v="3"/>
    <x v="10"/>
    <n v="117.82"/>
    <n v="0.15"/>
    <x v="494"/>
    <n v="713.32"/>
    <x v="493"/>
    <n v="0.35245417986728278"/>
  </r>
  <r>
    <s v="SO-10496"/>
    <x v="75"/>
    <x v="3"/>
    <x v="2"/>
    <x v="1"/>
    <x v="4"/>
    <n v="817.59"/>
    <n v="0.15"/>
    <x v="495"/>
    <n v="3679.99"/>
    <x v="494"/>
    <n v="0.47046473913913106"/>
  </r>
  <r>
    <s v="SO-10497"/>
    <x v="246"/>
    <x v="2"/>
    <x v="1"/>
    <x v="1"/>
    <x v="9"/>
    <n v="462.72"/>
    <n v="0.05"/>
    <x v="496"/>
    <n v="343.02"/>
    <x v="495"/>
    <n v="0.21966422494199009"/>
  </r>
  <r>
    <s v="SO-10498"/>
    <x v="53"/>
    <x v="0"/>
    <x v="1"/>
    <x v="2"/>
    <x v="5"/>
    <n v="424.18"/>
    <n v="0.1"/>
    <x v="497"/>
    <n v="369.08"/>
    <x v="496"/>
    <n v="0.51661362356423457"/>
  </r>
  <r>
    <s v="SO-10499"/>
    <x v="259"/>
    <x v="1"/>
    <x v="1"/>
    <x v="2"/>
    <x v="5"/>
    <n v="459.31"/>
    <n v="0"/>
    <x v="498"/>
    <n v="480.27"/>
    <x v="497"/>
    <n v="0.47718885732013977"/>
  </r>
  <r>
    <s v="SO-10500"/>
    <x v="260"/>
    <x v="1"/>
    <x v="1"/>
    <x v="4"/>
    <x v="10"/>
    <n v="593.09"/>
    <n v="0.05"/>
    <x v="499"/>
    <n v="4492.21"/>
    <x v="498"/>
    <n v="0.275185793531190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9DBB8F-E782-4038-B7DF-209B5E1D8DD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12:J21" firstHeaderRow="1" firstDataRow="1" firstDataCol="1"/>
  <pivotFields count="18">
    <pivotField compact="0" outline="0" showAll="0"/>
    <pivotField compact="0" outline="0"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compact="0" outline="0" showAll="0"/>
    <pivotField compact="0" outline="0" showAll="0"/>
    <pivotField axis="axisRow" compact="0" outline="0" showAll="0" sortType="descending">
      <items count="9">
        <item x="3"/>
        <item x="2"/>
        <item x="6"/>
        <item x="1"/>
        <item x="7"/>
        <item x="5"/>
        <item x="0"/>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9" outline="0" showAll="0"/>
    <pivotField dataField="1" compact="0" outline="0" showAll="0"/>
    <pivotField compact="0" outline="0" showAll="0"/>
    <pivotField compact="0" numFmtId="165" outline="0" showAll="0"/>
    <pivotField compact="0" numFmtId="9"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4"/>
  </rowFields>
  <rowItems count="9">
    <i>
      <x v="1"/>
    </i>
    <i>
      <x v="6"/>
    </i>
    <i>
      <x v="7"/>
    </i>
    <i>
      <x v="5"/>
    </i>
    <i>
      <x v="3"/>
    </i>
    <i>
      <x/>
    </i>
    <i>
      <x v="2"/>
    </i>
    <i>
      <x v="4"/>
    </i>
    <i t="grand">
      <x/>
    </i>
  </rowItems>
  <colItems count="1">
    <i/>
  </colItems>
  <dataFields count="1">
    <dataField name="Sum of Revenue" fld="8" baseField="0" baseItem="0" numFmtId="167"/>
  </dataFields>
  <formats count="15">
    <format dxfId="14">
      <pivotArea type="all" dataOnly="0" outline="0" fieldPosition="0"/>
    </format>
    <format dxfId="13">
      <pivotArea outline="0" collapsedLevelsAreSubtotals="1" fieldPosition="0"/>
    </format>
    <format dxfId="12">
      <pivotArea field="4" type="button" dataOnly="0" labelOnly="1" outline="0" axis="axisRow" fieldPosition="0"/>
    </format>
    <format dxfId="11">
      <pivotArea dataOnly="0" labelOnly="1" fieldPosition="0">
        <references count="1">
          <reference field="4" count="0"/>
        </references>
      </pivotArea>
    </format>
    <format dxfId="10">
      <pivotArea dataOnly="0" labelOnly="1" grandRow="1" outline="0"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4" type="button" dataOnly="0" labelOnly="1" outline="0" axis="axisRow" fieldPosition="0"/>
    </format>
    <format dxfId="5">
      <pivotArea dataOnly="0" labelOnly="1" fieldPosition="0">
        <references count="1">
          <reference field="4" count="0"/>
        </references>
      </pivotArea>
    </format>
    <format dxfId="4">
      <pivotArea dataOnly="0" labelOnly="1" grandRow="1" outline="0" fieldPosition="0"/>
    </format>
    <format dxfId="3">
      <pivotArea dataOnly="0" labelOnly="1" outline="0" axis="axisValues" fieldPosition="0"/>
    </format>
    <format dxfId="2">
      <pivotArea outline="0" fieldPosition="0">
        <references count="1">
          <reference field="4" count="1" selected="0">
            <x v="1"/>
          </reference>
        </references>
      </pivotArea>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0CB4A5-54DD-41F7-BC2F-DFD7E1BEFBCE}" name="PivotTable1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9">
  <location ref="F37:G46" firstHeaderRow="1" firstDataRow="1" firstDataCol="1"/>
  <pivotFields count="18">
    <pivotField compact="0" outline="0" showAll="0"/>
    <pivotField compact="0" outline="0"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compact="0" outline="0" showAll="0">
      <items count="5">
        <item x="2"/>
        <item x="1"/>
        <item x="0"/>
        <item x="3"/>
        <item t="default"/>
      </items>
    </pivotField>
    <pivotField compact="0" outline="0" showAll="0">
      <items count="4">
        <item x="2"/>
        <item x="0"/>
        <item x="1"/>
        <item t="default"/>
      </items>
    </pivotField>
    <pivotField axis="axisRow" compact="0" outline="0" showAll="0" sortType="descending">
      <items count="9">
        <item x="3"/>
        <item x="2"/>
        <item x="6"/>
        <item x="1"/>
        <item x="7"/>
        <item x="5"/>
        <item x="0"/>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9" outline="0" showAll="0"/>
    <pivotField dataField="1" compact="0" outline="0" showAll="0"/>
    <pivotField compact="0" outline="0" showAll="0"/>
    <pivotField compact="0" numFmtId="165" outline="0" showAll="0"/>
    <pivotField compact="0" numFmtId="9"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4"/>
  </rowFields>
  <rowItems count="9">
    <i>
      <x v="1"/>
    </i>
    <i>
      <x v="6"/>
    </i>
    <i>
      <x v="7"/>
    </i>
    <i>
      <x v="5"/>
    </i>
    <i>
      <x v="3"/>
    </i>
    <i>
      <x/>
    </i>
    <i>
      <x v="2"/>
    </i>
    <i>
      <x v="4"/>
    </i>
    <i t="grand">
      <x/>
    </i>
  </rowItems>
  <colItems count="1">
    <i/>
  </colItems>
  <dataFields count="1">
    <dataField name="Sum of Revenue" fld="8" baseField="0" baseItem="0"/>
  </dataFields>
  <formats count="15">
    <format dxfId="29">
      <pivotArea type="all" dataOnly="0" outline="0" fieldPosition="0"/>
    </format>
    <format dxfId="28">
      <pivotArea outline="0" collapsedLevelsAreSubtotals="1"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field="4" type="button" dataOnly="0" labelOnly="1" outline="0" axis="axisRow" fieldPosition="0"/>
    </format>
    <format dxfId="23">
      <pivotArea dataOnly="0" labelOnly="1" fieldPosition="0">
        <references count="1">
          <reference field="4"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4" type="button" dataOnly="0" labelOnly="1" outline="0" axis="axisRow" fieldPosition="0"/>
    </format>
    <format dxfId="17">
      <pivotArea dataOnly="0" labelOnly="1" fieldPosition="0">
        <references count="1">
          <reference field="4" count="0"/>
        </references>
      </pivotArea>
    </format>
    <format dxfId="16">
      <pivotArea dataOnly="0" labelOnly="1" grandRow="1" outline="0" fieldPosition="0"/>
    </format>
    <format dxfId="15">
      <pivotArea dataOnly="0" labelOnly="1" outline="0" axis="axisValues" fieldPosition="0"/>
    </format>
  </formats>
  <chartFormats count="1">
    <chartFormat chart="3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27506A-7866-4817-9E6B-75ECF87088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9:D60" firstHeaderRow="1" firstDataRow="1" firstDataCol="0"/>
  <pivotFields count="18">
    <pivotField showAll="0"/>
    <pivotField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showAll="0">
      <items count="5">
        <item x="2"/>
        <item x="1"/>
        <item x="0"/>
        <item x="3"/>
        <item t="default"/>
      </items>
    </pivotField>
    <pivotField showAll="0">
      <items count="4">
        <item x="2"/>
        <item x="0"/>
        <item x="1"/>
        <item t="default"/>
      </items>
    </pivotField>
    <pivotField showAll="0">
      <items count="9">
        <item x="3"/>
        <item x="2"/>
        <item x="6"/>
        <item x="1"/>
        <item x="7"/>
        <item x="5"/>
        <item x="0"/>
        <item x="4"/>
        <item t="default"/>
      </items>
    </pivotField>
    <pivotField showAll="0"/>
    <pivotField showAll="0"/>
    <pivotField numFmtId="9" showAll="0"/>
    <pivotField numFmtId="3"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Sum of Profit m" fld="16" baseField="0" baseItem="0" numFmtId="9"/>
  </dataFields>
  <formats count="11">
    <format dxfId="40">
      <pivotArea type="all" dataOnly="0" outline="0" fieldPosition="0"/>
    </format>
    <format dxfId="39">
      <pivotArea outline="0" collapsedLevelsAreSubtotals="1" fieldPosition="0"/>
    </format>
    <format dxfId="38">
      <pivotArea dataOnly="0" labelOnly="1" outline="0" axis="axisValues" fieldPosition="0"/>
    </format>
    <format dxfId="37">
      <pivotArea outline="0" collapsedLevelsAreSubtotals="1"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D90EE8-5704-45E7-82A4-FBAF54B4180C}"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37:C50" firstHeaderRow="1" firstDataRow="1" firstDataCol="1"/>
  <pivotFields count="18">
    <pivotField compact="0" outline="0" showAll="0"/>
    <pivotField compact="0" outline="0"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compact="0" outline="0" showAll="0">
      <items count="5">
        <item x="2"/>
        <item x="1"/>
        <item x="0"/>
        <item x="3"/>
        <item t="default"/>
      </items>
    </pivotField>
    <pivotField compact="0" outline="0" showAll="0">
      <items count="4">
        <item x="2"/>
        <item x="0"/>
        <item x="1"/>
        <item t="default"/>
      </items>
    </pivotField>
    <pivotField compact="0" outline="0" showAll="0">
      <items count="9">
        <item x="3"/>
        <item x="2"/>
        <item x="6"/>
        <item x="1"/>
        <item x="7"/>
        <item x="5"/>
        <item x="0"/>
        <item x="4"/>
        <item t="default"/>
      </items>
    </pivotField>
    <pivotField compact="0" outline="0" showAll="0"/>
    <pivotField compact="0" outline="0" showAll="0"/>
    <pivotField compact="0" numFmtId="9" outline="0" showAll="0"/>
    <pivotField dataField="1" compact="0" outline="0" showAll="0"/>
    <pivotField compact="0" outline="0" showAll="0"/>
    <pivotField compact="0" numFmtId="165" outline="0" showAll="0"/>
    <pivotField compact="0" numFmtId="9" outline="0" showAll="0"/>
    <pivotField compact="0" outline="0" showAll="0" defaultSubtotal="0"/>
    <pivotField axis="axisRow" compact="0" outline="0" showAll="0" defaultSubtotal="0">
      <items count="14">
        <item x="0"/>
        <item x="13"/>
        <item x="1"/>
        <item x="2"/>
        <item x="3"/>
        <item x="4"/>
        <item x="5"/>
        <item x="6"/>
        <item x="7"/>
        <item x="8"/>
        <item x="9"/>
        <item x="10"/>
        <item x="11"/>
        <item x="12"/>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3"/>
  </rowFields>
  <rowItems count="13">
    <i>
      <x v="2"/>
    </i>
    <i>
      <x v="3"/>
    </i>
    <i>
      <x v="4"/>
    </i>
    <i>
      <x v="5"/>
    </i>
    <i>
      <x v="6"/>
    </i>
    <i>
      <x v="7"/>
    </i>
    <i>
      <x v="8"/>
    </i>
    <i>
      <x v="9"/>
    </i>
    <i>
      <x v="10"/>
    </i>
    <i>
      <x v="11"/>
    </i>
    <i>
      <x v="12"/>
    </i>
    <i>
      <x v="13"/>
    </i>
    <i t="grand">
      <x/>
    </i>
  </rowItems>
  <colItems count="1">
    <i/>
  </colItems>
  <dataFields count="1">
    <dataField name="Sum of Revenue" fld="8" baseField="0" baseItem="0" numFmtId="167"/>
  </dataFields>
  <formats count="31">
    <format dxfId="71">
      <pivotArea type="all" dataOnly="0" outline="0" fieldPosition="0"/>
    </format>
    <format dxfId="70">
      <pivotArea outline="0" collapsedLevelsAreSubtotals="1" fieldPosition="0"/>
    </format>
    <format dxfId="69">
      <pivotArea field="13" type="button" dataOnly="0" labelOnly="1" outline="0" axis="axisRow" fieldPosition="0"/>
    </format>
    <format dxfId="68">
      <pivotArea dataOnly="0" labelOnly="1" fieldPosition="0">
        <references count="1">
          <reference field="13" count="12">
            <x v="2"/>
            <x v="3"/>
            <x v="4"/>
            <x v="5"/>
            <x v="6"/>
            <x v="7"/>
            <x v="8"/>
            <x v="9"/>
            <x v="10"/>
            <x v="11"/>
            <x v="12"/>
            <x v="13"/>
          </reference>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13" type="button" dataOnly="0" labelOnly="1" outline="0" axis="axisRow" fieldPosition="0"/>
    </format>
    <format dxfId="62">
      <pivotArea dataOnly="0" labelOnly="1" fieldPosition="0">
        <references count="1">
          <reference field="13" count="12">
            <x v="2"/>
            <x v="3"/>
            <x v="4"/>
            <x v="5"/>
            <x v="6"/>
            <x v="7"/>
            <x v="8"/>
            <x v="9"/>
            <x v="10"/>
            <x v="11"/>
            <x v="12"/>
            <x v="13"/>
          </reference>
        </references>
      </pivotArea>
    </format>
    <format dxfId="61">
      <pivotArea dataOnly="0" labelOnly="1" grandRow="1" outline="0" fieldPosition="0"/>
    </format>
    <format dxfId="60">
      <pivotArea dataOnly="0" labelOnly="1" outline="0" axis="axisValues" fieldPosition="0"/>
    </format>
    <format dxfId="59">
      <pivotArea outline="0" fieldPosition="0">
        <references count="1">
          <reference field="4294967294" count="1">
            <x v="0"/>
          </reference>
        </references>
      </pivotArea>
    </format>
    <format dxfId="58">
      <pivotArea type="all" dataOnly="0" outline="0" fieldPosition="0"/>
    </format>
    <format dxfId="57">
      <pivotArea outline="0" collapsedLevelsAreSubtotals="1" fieldPosition="0"/>
    </format>
    <format dxfId="56">
      <pivotArea field="13" type="button" dataOnly="0" labelOnly="1" outline="0" axis="axisRow" fieldPosition="0"/>
    </format>
    <format dxfId="55">
      <pivotArea dataOnly="0" labelOnly="1" fieldPosition="0">
        <references count="1">
          <reference field="13" count="12">
            <x v="2"/>
            <x v="3"/>
            <x v="4"/>
            <x v="5"/>
            <x v="6"/>
            <x v="7"/>
            <x v="8"/>
            <x v="9"/>
            <x v="10"/>
            <x v="11"/>
            <x v="12"/>
            <x v="13"/>
          </reference>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13" type="button" dataOnly="0" labelOnly="1" outline="0" axis="axisRow" fieldPosition="0"/>
    </format>
    <format dxfId="49">
      <pivotArea dataOnly="0" labelOnly="1" fieldPosition="0">
        <references count="1">
          <reference field="13" count="12">
            <x v="2"/>
            <x v="3"/>
            <x v="4"/>
            <x v="5"/>
            <x v="6"/>
            <x v="7"/>
            <x v="8"/>
            <x v="9"/>
            <x v="10"/>
            <x v="11"/>
            <x v="12"/>
            <x v="13"/>
          </reference>
        </references>
      </pivotArea>
    </format>
    <format dxfId="48">
      <pivotArea dataOnly="0" labelOnly="1" grandRow="1" outline="0" fieldPosition="0"/>
    </format>
    <format dxfId="47">
      <pivotArea outline="0" fieldPosition="0">
        <references count="1">
          <reference field="4294967294" count="1">
            <x v="0"/>
          </reference>
        </references>
      </pivotArea>
    </format>
    <format dxfId="46">
      <pivotArea outline="0" collapsedLevelsAreSubtotals="1" fieldPosition="0"/>
    </format>
    <format dxfId="45">
      <pivotArea dataOnly="0" labelOnly="1" grandRow="1" outline="0" fieldPosition="0"/>
    </format>
    <format dxfId="44">
      <pivotArea outline="0" fieldPosition="0">
        <references count="1">
          <reference field="13" count="12" selected="0">
            <x v="2"/>
            <x v="3"/>
            <x v="4"/>
            <x v="5"/>
            <x v="6"/>
            <x v="7"/>
            <x v="8"/>
            <x v="9"/>
            <x v="10"/>
            <x v="11"/>
            <x v="12"/>
            <x v="13"/>
          </reference>
        </references>
      </pivotArea>
    </format>
    <format dxfId="43">
      <pivotArea dataOnly="0" labelOnly="1" outline="0" fieldPosition="0">
        <references count="1">
          <reference field="13" count="12">
            <x v="2"/>
            <x v="3"/>
            <x v="4"/>
            <x v="5"/>
            <x v="6"/>
            <x v="7"/>
            <x v="8"/>
            <x v="9"/>
            <x v="10"/>
            <x v="11"/>
            <x v="12"/>
            <x v="13"/>
          </reference>
        </references>
      </pivotArea>
    </format>
    <format dxfId="42">
      <pivotArea outline="0" fieldPosition="0">
        <references count="1">
          <reference field="13" count="11" selected="0">
            <x v="3"/>
            <x v="4"/>
            <x v="5"/>
            <x v="6"/>
            <x v="7"/>
            <x v="8"/>
            <x v="9"/>
            <x v="10"/>
            <x v="11"/>
            <x v="12"/>
            <x v="13"/>
          </reference>
        </references>
      </pivotArea>
    </format>
    <format dxfId="41">
      <pivotArea dataOnly="0" labelOnly="1" outline="0" fieldPosition="0">
        <references count="1">
          <reference field="13" count="11">
            <x v="3"/>
            <x v="4"/>
            <x v="5"/>
            <x v="6"/>
            <x v="7"/>
            <x v="8"/>
            <x v="9"/>
            <x v="10"/>
            <x v="11"/>
            <x v="12"/>
            <x v="13"/>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E3A1E5-AC62-421D-9F87-1403BC66F7D9}"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D52:E57" firstHeaderRow="1" firstDataRow="1" firstDataCol="1"/>
  <pivotFields count="18">
    <pivotField compact="0" outline="0" showAll="0"/>
    <pivotField compact="0" outline="0"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axis="axisRow" compact="0" outline="0" showAll="0">
      <items count="5">
        <item x="2"/>
        <item x="1"/>
        <item x="0"/>
        <item x="3"/>
        <item t="default"/>
      </items>
    </pivotField>
    <pivotField compact="0" outline="0" showAll="0">
      <items count="4">
        <item x="2"/>
        <item x="0"/>
        <item x="1"/>
        <item t="default"/>
      </items>
    </pivotField>
    <pivotField compact="0" outline="0" showAll="0">
      <items count="9">
        <item x="3"/>
        <item x="2"/>
        <item x="6"/>
        <item x="1"/>
        <item x="7"/>
        <item x="5"/>
        <item x="0"/>
        <item x="4"/>
        <item t="default"/>
      </items>
    </pivotField>
    <pivotField compact="0" outline="0" showAll="0"/>
    <pivotField compact="0" outline="0" showAll="0"/>
    <pivotField compact="0" numFmtId="9" outline="0" showAll="0"/>
    <pivotField dataField="1" compact="0" outline="0" showAll="0"/>
    <pivotField compact="0" outline="0" showAll="0"/>
    <pivotField compact="0" numFmtId="165" outline="0" showAll="0"/>
    <pivotField compact="0" numFmtId="9"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2"/>
  </rowFields>
  <rowItems count="5">
    <i>
      <x/>
    </i>
    <i>
      <x v="1"/>
    </i>
    <i>
      <x v="2"/>
    </i>
    <i>
      <x v="3"/>
    </i>
    <i t="grand">
      <x/>
    </i>
  </rowItems>
  <colItems count="1">
    <i/>
  </colItems>
  <dataFields count="1">
    <dataField name="Sum of Revenue" fld="8" baseField="0" baseItem="0"/>
  </dataFields>
  <formats count="15">
    <format dxfId="86">
      <pivotArea type="all" dataOnly="0" outline="0" fieldPosition="0"/>
    </format>
    <format dxfId="85">
      <pivotArea outline="0" collapsedLevelsAreSubtotals="1" fieldPosition="0"/>
    </format>
    <format dxfId="84">
      <pivotArea outline="0" collapsedLevelsAreSubtotals="1" fieldPosition="0"/>
    </format>
    <format dxfId="83">
      <pivotArea type="all" dataOnly="0" outline="0" fieldPosition="0"/>
    </format>
    <format dxfId="82">
      <pivotArea outline="0" collapsedLevelsAreSubtotals="1" fieldPosition="0"/>
    </format>
    <format dxfId="81">
      <pivotArea field="2" type="button" dataOnly="0" labelOnly="1" outline="0" axis="axisRow" fieldPosition="0"/>
    </format>
    <format dxfId="80">
      <pivotArea dataOnly="0" labelOnly="1" fieldPosition="0">
        <references count="1">
          <reference field="2"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2" type="button" dataOnly="0" labelOnly="1" outline="0" axis="axisRow" fieldPosition="0"/>
    </format>
    <format dxfId="74">
      <pivotArea dataOnly="0" labelOnly="1" fieldPosition="0">
        <references count="1">
          <reference field="2" count="0"/>
        </references>
      </pivotArea>
    </format>
    <format dxfId="73">
      <pivotArea dataOnly="0" labelOnly="1" grandRow="1" outline="0" fieldPosition="0"/>
    </format>
    <format dxfId="72">
      <pivotArea dataOnly="0" labelOnly="1" outline="0" axis="axisValues" fieldPosition="0"/>
    </format>
  </formats>
  <chartFormats count="1">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529D13-25A9-4356-9D96-919D0AC7A71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9:E60" firstHeaderRow="1" firstDataRow="1" firstDataCol="0"/>
  <pivotFields count="18">
    <pivotField showAll="0"/>
    <pivotField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showAll="0">
      <items count="5">
        <item x="2"/>
        <item x="1"/>
        <item x="0"/>
        <item x="3"/>
        <item t="default"/>
      </items>
    </pivotField>
    <pivotField showAll="0">
      <items count="4">
        <item x="2"/>
        <item x="0"/>
        <item x="1"/>
        <item t="default"/>
      </items>
    </pivotField>
    <pivotField showAll="0">
      <items count="9">
        <item x="3"/>
        <item x="2"/>
        <item x="6"/>
        <item x="1"/>
        <item x="7"/>
        <item x="5"/>
        <item x="0"/>
        <item x="4"/>
        <item t="default"/>
      </items>
    </pivotField>
    <pivotField dataField="1" showAll="0">
      <items count="12">
        <item x="9"/>
        <item x="5"/>
        <item x="7"/>
        <item x="6"/>
        <item x="0"/>
        <item x="3"/>
        <item x="8"/>
        <item x="2"/>
        <item x="1"/>
        <item x="4"/>
        <item x="10"/>
        <item t="default"/>
      </items>
    </pivotField>
    <pivotField showAll="0"/>
    <pivotField numFmtId="9" showAll="0"/>
    <pivotField showAll="0"/>
    <pivotField showAll="0"/>
    <pivotField numFmtId="165" showAll="0"/>
    <pivotField numFmtId="9"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 Units" fld="5" baseField="0" baseItem="0"/>
  </dataFields>
  <formats count="15">
    <format dxfId="101">
      <pivotArea type="all" dataOnly="0" outline="0" fieldPosition="0"/>
    </format>
    <format dxfId="100">
      <pivotArea outline="0" collapsedLevelsAreSubtotals="1" fieldPosition="0"/>
    </format>
    <format dxfId="99">
      <pivotArea dataOnly="0" labelOnly="1" outline="0" axis="axisValues" fieldPosition="0"/>
    </format>
    <format dxfId="98">
      <pivotArea dataOnly="0" labelOnly="1" outline="0" axis="axisValues" fieldPosition="0"/>
    </format>
    <format dxfId="97">
      <pivotArea outline="0" collapsedLevelsAreSubtotals="1"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outline="0" collapsedLevelsAreSubtotals="1" fieldPosition="0"/>
    </format>
    <format dxfId="92">
      <pivotArea type="all" dataOnly="0" outline="0" fieldPosition="0"/>
    </format>
    <format dxfId="91">
      <pivotArea outline="0" collapsedLevelsAreSubtotals="1"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923AD9-DF21-42D0-A7B1-AA7B81E604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B12:G25" firstHeaderRow="0" firstDataRow="1" firstDataCol="1"/>
  <pivotFields count="18">
    <pivotField showAll="0"/>
    <pivotField axis="axisRow"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showAll="0"/>
    <pivotField showAll="0"/>
    <pivotField showAll="0"/>
    <pivotField dataField="1" showAll="0"/>
    <pivotField showAll="0"/>
    <pivotField numFmtId="9" showAll="0"/>
    <pivotField dataField="1" showAll="0">
      <items count="501">
        <item x="279"/>
        <item x="250"/>
        <item x="172"/>
        <item x="267"/>
        <item x="282"/>
        <item x="92"/>
        <item x="387"/>
        <item x="57"/>
        <item x="61"/>
        <item x="350"/>
        <item x="382"/>
        <item x="349"/>
        <item x="194"/>
        <item x="413"/>
        <item x="101"/>
        <item x="89"/>
        <item x="18"/>
        <item x="322"/>
        <item x="60"/>
        <item x="235"/>
        <item x="447"/>
        <item x="478"/>
        <item x="123"/>
        <item x="133"/>
        <item x="396"/>
        <item x="136"/>
        <item x="46"/>
        <item x="207"/>
        <item x="255"/>
        <item x="470"/>
        <item x="389"/>
        <item x="283"/>
        <item x="147"/>
        <item x="323"/>
        <item x="395"/>
        <item x="212"/>
        <item x="371"/>
        <item x="95"/>
        <item x="178"/>
        <item x="257"/>
        <item x="71"/>
        <item x="182"/>
        <item x="163"/>
        <item x="128"/>
        <item x="241"/>
        <item x="317"/>
        <item x="434"/>
        <item x="369"/>
        <item x="41"/>
        <item x="86"/>
        <item x="327"/>
        <item x="151"/>
        <item x="406"/>
        <item x="335"/>
        <item x="341"/>
        <item x="400"/>
        <item x="398"/>
        <item x="496"/>
        <item x="129"/>
        <item x="429"/>
        <item x="333"/>
        <item x="431"/>
        <item x="102"/>
        <item x="105"/>
        <item x="53"/>
        <item x="142"/>
        <item x="265"/>
        <item x="122"/>
        <item x="421"/>
        <item x="303"/>
        <item x="138"/>
        <item x="184"/>
        <item x="88"/>
        <item x="87"/>
        <item x="376"/>
        <item x="411"/>
        <item x="37"/>
        <item x="351"/>
        <item x="30"/>
        <item x="188"/>
        <item x="153"/>
        <item x="258"/>
        <item x="427"/>
        <item x="59"/>
        <item x="7"/>
        <item x="445"/>
        <item x="253"/>
        <item x="183"/>
        <item x="228"/>
        <item x="23"/>
        <item x="312"/>
        <item x="29"/>
        <item x="373"/>
        <item x="299"/>
        <item x="174"/>
        <item x="106"/>
        <item x="47"/>
        <item x="453"/>
        <item x="110"/>
        <item x="190"/>
        <item x="109"/>
        <item x="381"/>
        <item x="16"/>
        <item x="288"/>
        <item x="378"/>
        <item x="284"/>
        <item x="365"/>
        <item x="497"/>
        <item x="412"/>
        <item x="460"/>
        <item x="1"/>
        <item x="408"/>
        <item x="38"/>
        <item x="481"/>
        <item x="456"/>
        <item x="418"/>
        <item x="50"/>
        <item x="171"/>
        <item x="11"/>
        <item x="397"/>
        <item x="302"/>
        <item x="354"/>
        <item x="449"/>
        <item x="179"/>
        <item x="161"/>
        <item x="428"/>
        <item x="298"/>
        <item x="193"/>
        <item x="287"/>
        <item x="166"/>
        <item x="28"/>
        <item x="498"/>
        <item x="80"/>
        <item x="165"/>
        <item x="348"/>
        <item x="55"/>
        <item x="238"/>
        <item x="82"/>
        <item x="68"/>
        <item x="196"/>
        <item x="489"/>
        <item x="297"/>
        <item x="97"/>
        <item x="458"/>
        <item x="353"/>
        <item x="310"/>
        <item x="246"/>
        <item x="494"/>
        <item x="291"/>
        <item x="275"/>
        <item x="198"/>
        <item x="432"/>
        <item x="108"/>
        <item x="25"/>
        <item x="399"/>
        <item x="33"/>
        <item x="477"/>
        <item x="404"/>
        <item x="24"/>
        <item x="285"/>
        <item x="237"/>
        <item x="286"/>
        <item x="278"/>
        <item x="227"/>
        <item x="155"/>
        <item x="230"/>
        <item x="164"/>
        <item x="107"/>
        <item x="48"/>
        <item x="229"/>
        <item x="313"/>
        <item x="448"/>
        <item x="271"/>
        <item x="54"/>
        <item x="339"/>
        <item x="56"/>
        <item x="13"/>
        <item x="475"/>
        <item x="93"/>
        <item x="186"/>
        <item x="295"/>
        <item x="116"/>
        <item x="377"/>
        <item x="482"/>
        <item x="43"/>
        <item x="185"/>
        <item x="233"/>
        <item x="114"/>
        <item x="457"/>
        <item x="368"/>
        <item x="73"/>
        <item x="191"/>
        <item x="224"/>
        <item x="205"/>
        <item x="148"/>
        <item x="22"/>
        <item x="44"/>
        <item x="225"/>
        <item x="177"/>
        <item x="263"/>
        <item x="415"/>
        <item x="140"/>
        <item x="125"/>
        <item x="100"/>
        <item x="360"/>
        <item x="17"/>
        <item x="20"/>
        <item x="39"/>
        <item x="319"/>
        <item x="326"/>
        <item x="461"/>
        <item x="364"/>
        <item x="318"/>
        <item x="433"/>
        <item x="132"/>
        <item x="459"/>
        <item x="96"/>
        <item x="294"/>
        <item x="486"/>
        <item x="206"/>
        <item x="26"/>
        <item x="79"/>
        <item x="154"/>
        <item x="293"/>
        <item x="331"/>
        <item x="422"/>
        <item x="328"/>
        <item x="442"/>
        <item x="14"/>
        <item x="115"/>
        <item x="180"/>
        <item x="388"/>
        <item x="308"/>
        <item x="222"/>
        <item x="2"/>
        <item x="200"/>
        <item x="213"/>
        <item x="52"/>
        <item x="84"/>
        <item x="83"/>
        <item x="342"/>
        <item x="134"/>
        <item x="203"/>
        <item x="480"/>
        <item x="439"/>
        <item x="34"/>
        <item x="409"/>
        <item x="423"/>
        <item x="199"/>
        <item x="6"/>
        <item x="9"/>
        <item x="488"/>
        <item x="261"/>
        <item x="490"/>
        <item x="370"/>
        <item x="435"/>
        <item x="372"/>
        <item x="216"/>
        <item x="145"/>
        <item x="462"/>
        <item x="472"/>
        <item x="223"/>
        <item x="187"/>
        <item x="249"/>
        <item x="392"/>
        <item x="324"/>
        <item x="266"/>
        <item x="451"/>
        <item x="402"/>
        <item x="214"/>
        <item x="426"/>
        <item x="76"/>
        <item x="99"/>
        <item x="209"/>
        <item x="296"/>
        <item x="31"/>
        <item x="51"/>
        <item x="118"/>
        <item x="156"/>
        <item x="306"/>
        <item x="256"/>
        <item x="62"/>
        <item x="338"/>
        <item x="276"/>
        <item x="259"/>
        <item x="248"/>
        <item x="175"/>
        <item x="468"/>
        <item x="162"/>
        <item x="202"/>
        <item x="325"/>
        <item x="383"/>
        <item x="483"/>
        <item x="197"/>
        <item x="104"/>
        <item x="262"/>
        <item x="417"/>
        <item x="45"/>
        <item x="385"/>
        <item x="139"/>
        <item x="63"/>
        <item x="464"/>
        <item x="355"/>
        <item x="367"/>
        <item x="362"/>
        <item x="346"/>
        <item x="27"/>
        <item x="32"/>
        <item x="379"/>
        <item x="103"/>
        <item x="5"/>
        <item x="69"/>
        <item x="491"/>
        <item x="414"/>
        <item x="247"/>
        <item x="332"/>
        <item x="437"/>
        <item x="189"/>
        <item x="473"/>
        <item x="273"/>
        <item x="419"/>
        <item x="463"/>
        <item x="455"/>
        <item x="401"/>
        <item x="467"/>
        <item x="300"/>
        <item x="343"/>
        <item x="405"/>
        <item x="416"/>
        <item x="357"/>
        <item x="446"/>
        <item x="450"/>
        <item x="493"/>
        <item x="75"/>
        <item x="316"/>
        <item x="454"/>
        <item x="74"/>
        <item x="315"/>
        <item x="64"/>
        <item x="492"/>
        <item x="130"/>
        <item x="361"/>
        <item x="436"/>
        <item x="374"/>
        <item x="201"/>
        <item x="242"/>
        <item x="78"/>
        <item x="160"/>
        <item x="465"/>
        <item x="35"/>
        <item x="337"/>
        <item x="345"/>
        <item x="226"/>
        <item x="344"/>
        <item x="359"/>
        <item x="301"/>
        <item x="0"/>
        <item x="438"/>
        <item x="137"/>
        <item x="307"/>
        <item x="12"/>
        <item x="204"/>
        <item x="314"/>
        <item x="98"/>
        <item x="251"/>
        <item x="443"/>
        <item x="146"/>
        <item x="8"/>
        <item x="292"/>
        <item x="469"/>
        <item x="244"/>
        <item x="231"/>
        <item x="290"/>
        <item x="269"/>
        <item x="289"/>
        <item x="181"/>
        <item x="65"/>
        <item x="112"/>
        <item x="77"/>
        <item x="347"/>
        <item x="393"/>
        <item x="487"/>
        <item x="170"/>
        <item x="176"/>
        <item x="90"/>
        <item x="305"/>
        <item x="4"/>
        <item x="260"/>
        <item x="21"/>
        <item x="195"/>
        <item x="452"/>
        <item x="120"/>
        <item x="320"/>
        <item x="159"/>
        <item x="3"/>
        <item x="484"/>
        <item x="157"/>
        <item x="252"/>
        <item x="72"/>
        <item x="150"/>
        <item x="91"/>
        <item x="143"/>
        <item x="330"/>
        <item x="219"/>
        <item x="425"/>
        <item x="311"/>
        <item x="210"/>
        <item x="403"/>
        <item x="126"/>
        <item x="94"/>
        <item x="471"/>
        <item x="485"/>
        <item x="67"/>
        <item x="304"/>
        <item x="236"/>
        <item x="270"/>
        <item x="474"/>
        <item x="58"/>
        <item x="274"/>
        <item x="15"/>
        <item x="36"/>
        <item x="42"/>
        <item x="144"/>
        <item x="208"/>
        <item x="340"/>
        <item x="70"/>
        <item x="167"/>
        <item x="334"/>
        <item x="479"/>
        <item x="280"/>
        <item x="476"/>
        <item x="158"/>
        <item x="243"/>
        <item x="141"/>
        <item x="192"/>
        <item x="281"/>
        <item x="430"/>
        <item x="127"/>
        <item x="245"/>
        <item x="218"/>
        <item x="336"/>
        <item x="358"/>
        <item x="384"/>
        <item x="277"/>
        <item x="149"/>
        <item x="329"/>
        <item x="66"/>
        <item x="466"/>
        <item x="117"/>
        <item x="49"/>
        <item x="217"/>
        <item x="40"/>
        <item x="366"/>
        <item x="152"/>
        <item x="169"/>
        <item x="440"/>
        <item x="321"/>
        <item x="232"/>
        <item x="356"/>
        <item x="254"/>
        <item x="394"/>
        <item x="119"/>
        <item x="19"/>
        <item x="309"/>
        <item x="239"/>
        <item x="444"/>
        <item x="168"/>
        <item x="499"/>
        <item x="441"/>
        <item x="352"/>
        <item x="390"/>
        <item x="410"/>
        <item x="240"/>
        <item x="220"/>
        <item x="234"/>
        <item x="375"/>
        <item x="111"/>
        <item x="386"/>
        <item x="495"/>
        <item x="10"/>
        <item x="85"/>
        <item x="363"/>
        <item x="173"/>
        <item x="221"/>
        <item x="215"/>
        <item x="124"/>
        <item x="264"/>
        <item x="424"/>
        <item x="420"/>
        <item x="135"/>
        <item x="391"/>
        <item x="121"/>
        <item x="268"/>
        <item x="407"/>
        <item x="131"/>
        <item x="380"/>
        <item x="211"/>
        <item x="272"/>
        <item x="81"/>
        <item x="113"/>
        <item t="default"/>
      </items>
    </pivotField>
    <pivotField showAll="0"/>
    <pivotField dataField="1" numFmtId="165" showAll="0">
      <items count="500">
        <item x="278"/>
        <item x="249"/>
        <item x="91"/>
        <item x="171"/>
        <item x="266"/>
        <item x="281"/>
        <item x="412"/>
        <item x="234"/>
        <item x="381"/>
        <item x="349"/>
        <item x="477"/>
        <item x="135"/>
        <item x="386"/>
        <item x="57"/>
        <item x="46"/>
        <item x="254"/>
        <item x="100"/>
        <item x="61"/>
        <item x="348"/>
        <item x="122"/>
        <item x="18"/>
        <item x="132"/>
        <item x="446"/>
        <item x="388"/>
        <item x="146"/>
        <item x="469"/>
        <item x="177"/>
        <item x="193"/>
        <item x="60"/>
        <item x="240"/>
        <item x="368"/>
        <item x="394"/>
        <item x="206"/>
        <item x="282"/>
        <item x="94"/>
        <item x="321"/>
        <item x="88"/>
        <item x="322"/>
        <item x="370"/>
        <item x="395"/>
        <item x="495"/>
        <item x="332"/>
        <item x="128"/>
        <item x="41"/>
        <item x="181"/>
        <item x="187"/>
        <item x="104"/>
        <item x="70"/>
        <item x="211"/>
        <item x="85"/>
        <item x="399"/>
        <item x="334"/>
        <item x="53"/>
        <item x="405"/>
        <item x="162"/>
        <item x="183"/>
        <item x="150"/>
        <item x="430"/>
        <item x="364"/>
        <item x="410"/>
        <item x="256"/>
        <item x="29"/>
        <item x="127"/>
        <item x="433"/>
        <item x="7"/>
        <item x="37"/>
        <item x="298"/>
        <item x="420"/>
        <item x="141"/>
        <item x="252"/>
        <item x="311"/>
        <item x="397"/>
        <item x="283"/>
        <item x="170"/>
        <item x="316"/>
        <item x="340"/>
        <item x="79"/>
        <item x="50"/>
        <item x="165"/>
        <item x="257"/>
        <item x="326"/>
        <item x="452"/>
        <item x="101"/>
        <item x="152"/>
        <item x="86"/>
        <item x="444"/>
        <item x="380"/>
        <item x="16"/>
        <item x="426"/>
        <item x="264"/>
        <item x="377"/>
        <item x="55"/>
        <item x="227"/>
        <item x="109"/>
        <item x="448"/>
        <item x="67"/>
        <item x="173"/>
        <item x="428"/>
        <item x="59"/>
        <item x="137"/>
        <item x="30"/>
        <item x="302"/>
        <item x="164"/>
        <item x="48"/>
        <item x="226"/>
        <item x="121"/>
        <item x="347"/>
        <item x="197"/>
        <item x="455"/>
        <item x="87"/>
        <item x="411"/>
        <item x="375"/>
        <item x="350"/>
        <item x="417"/>
        <item x="309"/>
        <item x="105"/>
        <item x="108"/>
        <item x="25"/>
        <item x="367"/>
        <item x="195"/>
        <item x="353"/>
        <item x="294"/>
        <item x="287"/>
        <item x="277"/>
        <item x="43"/>
        <item x="11"/>
        <item x="154"/>
        <item x="23"/>
        <item x="182"/>
        <item x="363"/>
        <item x="447"/>
        <item x="458"/>
        <item x="190"/>
        <item x="189"/>
        <item x="352"/>
        <item x="38"/>
        <item x="178"/>
        <item x="115"/>
        <item x="224"/>
        <item x="459"/>
        <item x="407"/>
        <item x="160"/>
        <item x="47"/>
        <item x="330"/>
        <item x="96"/>
        <item x="20"/>
        <item x="372"/>
        <item x="13"/>
        <item x="185"/>
        <item x="493"/>
        <item x="245"/>
        <item x="228"/>
        <item x="81"/>
        <item x="496"/>
        <item x="28"/>
        <item x="92"/>
        <item x="327"/>
        <item x="232"/>
        <item x="432"/>
        <item x="284"/>
        <item x="369"/>
        <item x="476"/>
        <item x="427"/>
        <item x="26"/>
        <item x="460"/>
        <item x="82"/>
        <item x="286"/>
        <item x="99"/>
        <item x="488"/>
        <item x="301"/>
        <item x="480"/>
        <item x="1"/>
        <item x="497"/>
        <item x="236"/>
        <item x="396"/>
        <item x="163"/>
        <item x="229"/>
        <item x="202"/>
        <item x="481"/>
        <item x="297"/>
        <item x="237"/>
        <item x="270"/>
        <item x="39"/>
        <item x="296"/>
        <item x="192"/>
        <item x="265"/>
        <item x="485"/>
        <item x="139"/>
        <item x="186"/>
        <item x="387"/>
        <item x="147"/>
        <item x="398"/>
        <item x="56"/>
        <item x="274"/>
        <item x="161"/>
        <item x="359"/>
        <item x="184"/>
        <item x="255"/>
        <item x="248"/>
        <item x="325"/>
        <item x="403"/>
        <item x="457"/>
        <item x="199"/>
        <item x="24"/>
        <item x="262"/>
        <item x="54"/>
        <item x="450"/>
        <item x="33"/>
        <item x="223"/>
        <item x="198"/>
        <item x="258"/>
        <item x="474"/>
        <item x="107"/>
        <item x="176"/>
        <item x="413"/>
        <item x="376"/>
        <item x="338"/>
        <item x="401"/>
        <item x="431"/>
        <item x="285"/>
        <item x="62"/>
        <item x="78"/>
        <item x="391"/>
        <item x="68"/>
        <item x="290"/>
        <item x="292"/>
        <item x="315"/>
        <item x="72"/>
        <item x="456"/>
        <item x="106"/>
        <item x="9"/>
        <item x="204"/>
        <item x="312"/>
        <item x="6"/>
        <item x="341"/>
        <item x="22"/>
        <item x="95"/>
        <item x="52"/>
        <item x="260"/>
        <item x="307"/>
        <item x="317"/>
        <item x="467"/>
        <item x="196"/>
        <item x="45"/>
        <item x="73"/>
        <item x="124"/>
        <item x="113"/>
        <item x="422"/>
        <item x="489"/>
        <item x="453"/>
        <item x="131"/>
        <item x="416"/>
        <item x="441"/>
        <item x="44"/>
        <item x="17"/>
        <item x="32"/>
        <item x="179"/>
        <item x="14"/>
        <item x="358"/>
        <item x="213"/>
        <item x="318"/>
        <item x="31"/>
        <item x="414"/>
        <item x="35"/>
        <item x="247"/>
        <item x="114"/>
        <item x="436"/>
        <item x="289"/>
        <item x="188"/>
        <item x="408"/>
        <item x="205"/>
        <item x="129"/>
        <item x="479"/>
        <item x="175"/>
        <item x="222"/>
        <item x="331"/>
        <item x="117"/>
        <item x="174"/>
        <item x="373"/>
        <item x="153"/>
        <item x="194"/>
        <item x="323"/>
        <item x="425"/>
        <item x="421"/>
        <item x="291"/>
        <item x="144"/>
        <item x="2"/>
        <item x="438"/>
        <item x="483"/>
        <item x="133"/>
        <item x="354"/>
        <item x="319"/>
        <item x="212"/>
        <item x="75"/>
        <item x="468"/>
        <item x="221"/>
        <item x="305"/>
        <item x="246"/>
        <item x="293"/>
        <item x="337"/>
        <item x="400"/>
        <item x="51"/>
        <item x="402"/>
        <item x="295"/>
        <item x="473"/>
        <item x="345"/>
        <item x="463"/>
        <item x="34"/>
        <item x="371"/>
        <item x="336"/>
        <item x="462"/>
        <item x="466"/>
        <item x="269"/>
        <item x="486"/>
        <item x="241"/>
        <item x="0"/>
        <item x="158"/>
        <item x="275"/>
        <item x="83"/>
        <item x="5"/>
        <item x="3"/>
        <item x="435"/>
        <item x="299"/>
        <item x="259"/>
        <item x="111"/>
        <item x="180"/>
        <item x="138"/>
        <item x="76"/>
        <item x="143"/>
        <item x="471"/>
        <item x="461"/>
        <item x="140"/>
        <item x="487"/>
        <item x="482"/>
        <item x="361"/>
        <item x="155"/>
        <item x="27"/>
        <item x="215"/>
        <item x="434"/>
        <item x="314"/>
        <item x="491"/>
        <item x="201"/>
        <item x="98"/>
        <item x="142"/>
        <item x="261"/>
        <item x="384"/>
        <item x="243"/>
        <item x="378"/>
        <item x="424"/>
        <item x="156"/>
        <item x="208"/>
        <item x="437"/>
        <item x="357"/>
        <item x="324"/>
        <item x="342"/>
        <item x="382"/>
        <item x="251"/>
        <item x="404"/>
        <item x="36"/>
        <item x="442"/>
        <item x="472"/>
        <item x="445"/>
        <item x="439"/>
        <item x="103"/>
        <item x="40"/>
        <item x="136"/>
        <item x="279"/>
        <item x="306"/>
        <item x="366"/>
        <item x="356"/>
        <item x="21"/>
        <item x="102"/>
        <item x="288"/>
        <item x="490"/>
        <item x="454"/>
        <item x="392"/>
        <item x="58"/>
        <item x="333"/>
        <item x="169"/>
        <item x="449"/>
        <item x="383"/>
        <item x="451"/>
        <item x="253"/>
        <item x="351"/>
        <item x="42"/>
        <item x="492"/>
        <item x="217"/>
        <item x="418"/>
        <item x="119"/>
        <item x="8"/>
        <item x="225"/>
        <item x="77"/>
        <item x="415"/>
        <item x="313"/>
        <item x="74"/>
        <item x="272"/>
        <item x="475"/>
        <item x="231"/>
        <item x="200"/>
        <item x="145"/>
        <item x="12"/>
        <item x="465"/>
        <item x="97"/>
        <item x="300"/>
        <item x="64"/>
        <item x="250"/>
        <item x="166"/>
        <item x="149"/>
        <item x="191"/>
        <item x="346"/>
        <item x="389"/>
        <item x="478"/>
        <item x="244"/>
        <item x="159"/>
        <item x="360"/>
        <item x="4"/>
        <item x="263"/>
        <item x="220"/>
        <item x="63"/>
        <item x="498"/>
        <item x="203"/>
        <item x="343"/>
        <item x="93"/>
        <item x="464"/>
        <item x="423"/>
        <item x="125"/>
        <item x="385"/>
        <item x="157"/>
        <item x="440"/>
        <item x="344"/>
        <item x="374"/>
        <item x="123"/>
        <item x="49"/>
        <item x="329"/>
        <item x="365"/>
        <item x="216"/>
        <item x="69"/>
        <item x="89"/>
        <item x="268"/>
        <item x="239"/>
        <item x="230"/>
        <item x="273"/>
        <item x="339"/>
        <item x="126"/>
        <item x="304"/>
        <item x="218"/>
        <item x="280"/>
        <item x="328"/>
        <item x="148"/>
        <item x="484"/>
        <item x="66"/>
        <item x="130"/>
        <item x="429"/>
        <item x="470"/>
        <item x="71"/>
        <item x="209"/>
        <item x="15"/>
        <item x="443"/>
        <item x="393"/>
        <item x="310"/>
        <item x="303"/>
        <item x="379"/>
        <item x="90"/>
        <item x="65"/>
        <item x="235"/>
        <item x="116"/>
        <item x="308"/>
        <item x="134"/>
        <item x="276"/>
        <item x="207"/>
        <item x="320"/>
        <item x="355"/>
        <item x="84"/>
        <item x="242"/>
        <item x="390"/>
        <item x="168"/>
        <item x="10"/>
        <item x="335"/>
        <item x="233"/>
        <item x="409"/>
        <item x="419"/>
        <item x="151"/>
        <item x="118"/>
        <item x="167"/>
        <item x="110"/>
        <item x="267"/>
        <item x="238"/>
        <item x="19"/>
        <item x="210"/>
        <item x="494"/>
        <item x="219"/>
        <item x="172"/>
        <item x="214"/>
        <item x="362"/>
        <item x="120"/>
        <item x="406"/>
        <item x="112"/>
        <item x="271"/>
        <item x="80"/>
        <item t="default"/>
      </items>
    </pivotField>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3">
    <field x="13"/>
    <field x="12"/>
    <field x="1"/>
  </rowFields>
  <rowItems count="13">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Sum of Revenue" fld="8" baseField="0" baseItem="0" numFmtId="3"/>
    <dataField name="Percentage of Revenue" fld="8" showDataAs="percentOfTotal" baseField="0" baseItem="0" numFmtId="10"/>
    <dataField name="Sum of Units" fld="5" baseField="0" baseItem="0"/>
    <dataField name="Sum of Profit" fld="10" baseField="0" baseItem="0" numFmtId="3"/>
    <dataField name="Profit Margin percentage" fld="16" baseField="0" baseItem="0" numFmtId="9"/>
  </dataFields>
  <formats count="21">
    <format dxfId="122">
      <pivotArea outline="0" fieldPosition="0">
        <references count="1">
          <reference field="4294967294" count="1">
            <x v="0"/>
          </reference>
        </references>
      </pivotArea>
    </format>
    <format dxfId="121">
      <pivotArea collapsedLevelsAreSubtotals="1" fieldPosition="0">
        <references count="2">
          <reference field="4294967294" count="1" selected="0">
            <x v="3"/>
          </reference>
          <reference field="13" count="1">
            <x v="1"/>
          </reference>
        </references>
      </pivotArea>
    </format>
    <format dxfId="120">
      <pivotArea type="all" dataOnly="0" outline="0" fieldPosition="0"/>
    </format>
    <format dxfId="119">
      <pivotArea outline="0" collapsedLevelsAreSubtotals="1" fieldPosition="0"/>
    </format>
    <format dxfId="118">
      <pivotArea field="13" type="button" dataOnly="0" labelOnly="1" outline="0" axis="axisRow" fieldPosition="0"/>
    </format>
    <format dxfId="117">
      <pivotArea dataOnly="0" labelOnly="1" fieldPosition="0">
        <references count="1">
          <reference field="13" count="12">
            <x v="1"/>
            <x v="2"/>
            <x v="3"/>
            <x v="4"/>
            <x v="5"/>
            <x v="6"/>
            <x v="7"/>
            <x v="8"/>
            <x v="9"/>
            <x v="10"/>
            <x v="11"/>
            <x v="12"/>
          </reference>
        </references>
      </pivotArea>
    </format>
    <format dxfId="116">
      <pivotArea dataOnly="0" labelOnly="1" grandRow="1" outline="0" fieldPosition="0"/>
    </format>
    <format dxfId="115">
      <pivotArea dataOnly="0" labelOnly="1" outline="0" fieldPosition="0">
        <references count="1">
          <reference field="4294967294" count="4">
            <x v="0"/>
            <x v="1"/>
            <x v="2"/>
            <x v="3"/>
          </reference>
        </references>
      </pivotArea>
    </format>
    <format dxfId="114">
      <pivotArea type="all" dataOnly="0" outline="0" fieldPosition="0"/>
    </format>
    <format dxfId="113">
      <pivotArea outline="0" collapsedLevelsAreSubtotals="1" fieldPosition="0"/>
    </format>
    <format dxfId="112">
      <pivotArea field="13" type="button" dataOnly="0" labelOnly="1" outline="0" axis="axisRow" fieldPosition="0"/>
    </format>
    <format dxfId="111">
      <pivotArea dataOnly="0" labelOnly="1" fieldPosition="0">
        <references count="1">
          <reference field="13" count="12">
            <x v="1"/>
            <x v="2"/>
            <x v="3"/>
            <x v="4"/>
            <x v="5"/>
            <x v="6"/>
            <x v="7"/>
            <x v="8"/>
            <x v="9"/>
            <x v="10"/>
            <x v="11"/>
            <x v="12"/>
          </reference>
        </references>
      </pivotArea>
    </format>
    <format dxfId="110">
      <pivotArea dataOnly="0" labelOnly="1" grandRow="1" outline="0" fieldPosition="0"/>
    </format>
    <format dxfId="109">
      <pivotArea dataOnly="0" labelOnly="1" outline="0" fieldPosition="0">
        <references count="1">
          <reference field="4294967294" count="4">
            <x v="0"/>
            <x v="1"/>
            <x v="2"/>
            <x v="3"/>
          </reference>
        </references>
      </pivotArea>
    </format>
    <format dxfId="108">
      <pivotArea type="all" dataOnly="0" outline="0" fieldPosition="0"/>
    </format>
    <format dxfId="107">
      <pivotArea outline="0" collapsedLevelsAreSubtotals="1" fieldPosition="0"/>
    </format>
    <format dxfId="106">
      <pivotArea field="13" type="button" dataOnly="0" labelOnly="1" outline="0" axis="axisRow" fieldPosition="0"/>
    </format>
    <format dxfId="105">
      <pivotArea dataOnly="0" labelOnly="1" fieldPosition="0">
        <references count="1">
          <reference field="13" count="12">
            <x v="1"/>
            <x v="2"/>
            <x v="3"/>
            <x v="4"/>
            <x v="5"/>
            <x v="6"/>
            <x v="7"/>
            <x v="8"/>
            <x v="9"/>
            <x v="10"/>
            <x v="11"/>
            <x v="12"/>
          </reference>
        </references>
      </pivotArea>
    </format>
    <format dxfId="104">
      <pivotArea dataOnly="0" labelOnly="1" grandRow="1" outline="0" fieldPosition="0"/>
    </format>
    <format dxfId="103">
      <pivotArea dataOnly="0" labelOnly="1" outline="0" fieldPosition="0">
        <references count="1">
          <reference field="4294967294" count="4">
            <x v="0"/>
            <x v="1"/>
            <x v="2"/>
            <x v="3"/>
          </reference>
        </references>
      </pivotArea>
    </format>
    <format dxfId="10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3696B5-E326-45D6-84FF-F8D8D07B49D6}"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8:F32" firstHeaderRow="0" firstDataRow="1" firstDataCol="1"/>
  <pivotFields count="18">
    <pivotField dataField="1" compact="0" outline="0" showAll="0"/>
    <pivotField compact="0" outline="0"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compact="0" outline="0" showAll="0"/>
    <pivotField axis="axisRow" compact="0" outline="0" showAll="0">
      <items count="4">
        <item x="2"/>
        <item x="0"/>
        <item x="1"/>
        <item t="default"/>
      </items>
    </pivotField>
    <pivotField compact="0" outline="0" showAll="0"/>
    <pivotField compact="0" outline="0" showAll="0"/>
    <pivotField dataField="1" compact="0" outline="0" showAll="0"/>
    <pivotField compact="0" numFmtId="9" outline="0" showAll="0"/>
    <pivotField dataField="1" compact="0" outline="0" showAll="0"/>
    <pivotField compact="0" outline="0" showAll="0"/>
    <pivotField dataField="1" compact="0" numFmtId="165" outline="0" showAll="0"/>
    <pivotField compact="0" numFmtId="9"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3"/>
  </rowFields>
  <rowItems count="4">
    <i>
      <x/>
    </i>
    <i>
      <x v="1"/>
    </i>
    <i>
      <x v="2"/>
    </i>
    <i t="grand">
      <x/>
    </i>
  </rowItems>
  <colFields count="1">
    <field x="-2"/>
  </colFields>
  <colItems count="4">
    <i>
      <x/>
    </i>
    <i i="1">
      <x v="1"/>
    </i>
    <i i="2">
      <x v="2"/>
    </i>
    <i i="3">
      <x v="3"/>
    </i>
  </colItems>
  <dataFields count="4">
    <dataField name="Sum of Profit" fld="10" baseField="0" baseItem="0" numFmtId="167"/>
    <dataField name="Sum of Revenue" fld="8" baseField="0" baseItem="0" numFmtId="167"/>
    <dataField name="Average of Unit Price" fld="6" subtotal="average" baseField="0" baseItem="0" numFmtId="167"/>
    <dataField name="Orders" fld="0" subtotal="count" baseField="0" baseItem="0" numFmtId="3"/>
  </dataFields>
  <formats count="17">
    <format dxfId="139">
      <pivotArea outline="0" fieldPosition="0">
        <references count="1">
          <reference field="4294967294" count="1">
            <x v="2"/>
          </reference>
        </references>
      </pivotArea>
    </format>
    <format dxfId="138">
      <pivotArea type="all" dataOnly="0" outline="0" fieldPosition="0"/>
    </format>
    <format dxfId="137">
      <pivotArea outline="0" collapsedLevelsAreSubtotals="1" fieldPosition="0"/>
    </format>
    <format dxfId="136">
      <pivotArea field="3" type="button" dataOnly="0" labelOnly="1" outline="0" axis="axisRow" fieldPosition="0"/>
    </format>
    <format dxfId="135">
      <pivotArea dataOnly="0" labelOnly="1" outline="0" fieldPosition="0">
        <references count="1">
          <reference field="3" count="0"/>
        </references>
      </pivotArea>
    </format>
    <format dxfId="134">
      <pivotArea dataOnly="0" labelOnly="1" grandRow="1" outline="0" fieldPosition="0"/>
    </format>
    <format dxfId="133">
      <pivotArea dataOnly="0" labelOnly="1" outline="0" fieldPosition="0">
        <references count="1">
          <reference field="4294967294" count="4">
            <x v="0"/>
            <x v="1"/>
            <x v="2"/>
            <x v="3"/>
          </reference>
        </references>
      </pivotArea>
    </format>
    <format dxfId="132">
      <pivotArea outline="0" fieldPosition="0">
        <references count="1">
          <reference field="4294967294" count="1" selected="0">
            <x v="1"/>
          </reference>
        </references>
      </pivotArea>
    </format>
    <format dxfId="131">
      <pivotArea outline="0" fieldPosition="0">
        <references count="1">
          <reference field="4294967294" count="1" selected="0">
            <x v="2"/>
          </reference>
        </references>
      </pivotArea>
    </format>
    <format dxfId="130">
      <pivotArea outline="0" fieldPosition="0">
        <references count="1">
          <reference field="4294967294" count="1" selected="0">
            <x v="3"/>
          </reference>
        </references>
      </pivotArea>
    </format>
    <format dxfId="129">
      <pivotArea type="all" dataOnly="0" outline="0" fieldPosition="0"/>
    </format>
    <format dxfId="128">
      <pivotArea outline="0" collapsedLevelsAreSubtotals="1" fieldPosition="0"/>
    </format>
    <format dxfId="127">
      <pivotArea field="3" type="button" dataOnly="0" labelOnly="1" outline="0" axis="axisRow" fieldPosition="0"/>
    </format>
    <format dxfId="126">
      <pivotArea dataOnly="0" labelOnly="1" outline="0" fieldPosition="0">
        <references count="1">
          <reference field="3" count="0"/>
        </references>
      </pivotArea>
    </format>
    <format dxfId="125">
      <pivotArea dataOnly="0" labelOnly="1" grandRow="1" outline="0" fieldPosition="0"/>
    </format>
    <format dxfId="124">
      <pivotArea dataOnly="0" labelOnly="1" outline="0" fieldPosition="0">
        <references count="1">
          <reference field="4294967294" count="4">
            <x v="0"/>
            <x v="1"/>
            <x v="2"/>
            <x v="3"/>
          </reference>
        </references>
      </pivotArea>
    </format>
    <format dxfId="123">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D9A96C-5DAF-46E2-9C29-416182F095E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9:F60" firstHeaderRow="1" firstDataRow="1" firstDataCol="0"/>
  <pivotFields count="18">
    <pivotField dataField="1" showAll="0"/>
    <pivotField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showAll="0">
      <items count="5">
        <item x="2"/>
        <item x="1"/>
        <item x="0"/>
        <item x="3"/>
        <item t="default"/>
      </items>
    </pivotField>
    <pivotField showAll="0">
      <items count="4">
        <item x="2"/>
        <item x="0"/>
        <item x="1"/>
        <item t="default"/>
      </items>
    </pivotField>
    <pivotField showAll="0">
      <items count="9">
        <item x="3"/>
        <item x="2"/>
        <item x="6"/>
        <item x="1"/>
        <item x="7"/>
        <item x="5"/>
        <item x="0"/>
        <item x="4"/>
        <item t="default"/>
      </items>
    </pivotField>
    <pivotField showAll="0"/>
    <pivotField showAll="0"/>
    <pivotField numFmtId="9" showAll="0"/>
    <pivotField showAll="0"/>
    <pivotField showAll="0"/>
    <pivotField numFmtId="165" showAll="0"/>
    <pivotField numFmtId="9"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 Orders" fld="0" subtotal="count" baseField="0" baseItem="0"/>
  </dataFields>
  <formats count="15">
    <format dxfId="154">
      <pivotArea type="all" dataOnly="0" outline="0" fieldPosition="0"/>
    </format>
    <format dxfId="153">
      <pivotArea outline="0" collapsedLevelsAreSubtotals="1" fieldPosition="0"/>
    </format>
    <format dxfId="152">
      <pivotArea dataOnly="0" labelOnly="1" outline="0" axis="axisValues" fieldPosition="0"/>
    </format>
    <format dxfId="151">
      <pivotArea dataOnly="0" labelOnly="1" outline="0" axis="axisValues" fieldPosition="0"/>
    </format>
    <format dxfId="150">
      <pivotArea outline="0" collapsedLevelsAreSubtotals="1" fieldPosition="0"/>
    </format>
    <format dxfId="149">
      <pivotArea type="all" dataOnly="0" outline="0" fieldPosition="0"/>
    </format>
    <format dxfId="148">
      <pivotArea outline="0" collapsedLevelsAreSubtotals="1" fieldPosition="0"/>
    </format>
    <format dxfId="147">
      <pivotArea dataOnly="0" labelOnly="1" outline="0" axis="axisValues" fieldPosition="0"/>
    </format>
    <format dxfId="146">
      <pivotArea outline="0" collapsedLevelsAreSubtotals="1" fieldPosition="0"/>
    </format>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F2A764-C75F-413F-9BF2-C47D50D8DC5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9:B60" firstHeaderRow="1" firstDataRow="1" firstDataCol="0"/>
  <pivotFields count="18">
    <pivotField showAll="0"/>
    <pivotField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showAll="0">
      <items count="5">
        <item x="2"/>
        <item x="1"/>
        <item x="0"/>
        <item x="3"/>
        <item t="default"/>
      </items>
    </pivotField>
    <pivotField showAll="0">
      <items count="4">
        <item x="2"/>
        <item x="0"/>
        <item x="1"/>
        <item t="default"/>
      </items>
    </pivotField>
    <pivotField showAll="0">
      <items count="9">
        <item x="3"/>
        <item x="2"/>
        <item x="6"/>
        <item x="1"/>
        <item x="7"/>
        <item x="5"/>
        <item x="0"/>
        <item x="4"/>
        <item t="default"/>
      </items>
    </pivotField>
    <pivotField showAll="0"/>
    <pivotField showAll="0"/>
    <pivotField numFmtId="9" showAll="0"/>
    <pivotField dataField="1" showAll="0"/>
    <pivotField showAll="0"/>
    <pivotField numFmtId="165" showAll="0"/>
    <pivotField numFmtId="9"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 Revenue" fld="8" baseField="0" baseItem="0" numFmtId="167"/>
  </dataFields>
  <formats count="18">
    <format dxfId="172">
      <pivotArea outline="0" collapsedLevelsAreSubtotals="1" fieldPosition="0"/>
    </format>
    <format dxfId="171">
      <pivotArea type="all" dataOnly="0" outline="0" fieldPosition="0"/>
    </format>
    <format dxfId="170">
      <pivotArea outline="0" collapsedLevelsAreSubtotals="1" fieldPosition="0"/>
    </format>
    <format dxfId="169">
      <pivotArea dataOnly="0" labelOnly="1" outline="0" axis="axisValues" fieldPosition="0"/>
    </format>
    <format dxfId="168">
      <pivotArea dataOnly="0" labelOnly="1" outline="0" axis="axisValues" fieldPosition="0"/>
    </format>
    <format dxfId="167">
      <pivotArea dataOnly="0" labelOnly="1" outline="0" axis="axisValues" fieldPosition="0"/>
    </format>
    <format dxfId="166">
      <pivotArea outline="0" collapsedLevelsAreSubtotals="1" fieldPosition="0"/>
    </format>
    <format dxfId="165">
      <pivotArea type="all" dataOnly="0" outline="0" fieldPosition="0"/>
    </format>
    <format dxfId="164">
      <pivotArea outline="0" collapsedLevelsAreSubtotals="1" fieldPosition="0"/>
    </format>
    <format dxfId="163">
      <pivotArea dataOnly="0" labelOnly="1" outline="0" axis="axisValues" fieldPosition="0"/>
    </format>
    <format dxfId="162">
      <pivotArea outline="0" collapsedLevelsAreSubtotals="1"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F7B404-A7D4-4961-8D5A-7A589CDEF7FE}"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0">
  <location ref="B52:C56" firstHeaderRow="1" firstDataRow="1" firstDataCol="1"/>
  <pivotFields count="18">
    <pivotField compact="0" outline="0" showAll="0"/>
    <pivotField compact="0" outline="0"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compact="0" outline="0" showAll="0">
      <items count="5">
        <item x="2"/>
        <item x="1"/>
        <item x="0"/>
        <item x="3"/>
        <item t="default"/>
      </items>
    </pivotField>
    <pivotField axis="axisRow" compact="0" outline="0" showAll="0">
      <items count="4">
        <item x="2"/>
        <item x="0"/>
        <item x="1"/>
        <item t="default"/>
      </items>
    </pivotField>
    <pivotField compact="0" outline="0" showAll="0">
      <items count="9">
        <item x="3"/>
        <item x="2"/>
        <item x="6"/>
        <item x="1"/>
        <item x="7"/>
        <item x="5"/>
        <item x="0"/>
        <item x="4"/>
        <item t="default"/>
      </items>
    </pivotField>
    <pivotField compact="0" outline="0" showAll="0"/>
    <pivotField compact="0" outline="0" showAll="0"/>
    <pivotField compact="0" numFmtId="9" outline="0" showAll="0"/>
    <pivotField dataField="1" compact="0" outline="0" showAll="0"/>
    <pivotField compact="0" outline="0" showAll="0"/>
    <pivotField compact="0" numFmtId="165" outline="0" showAll="0"/>
    <pivotField compact="0" numFmtId="9"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3"/>
  </rowFields>
  <rowItems count="4">
    <i>
      <x/>
    </i>
    <i>
      <x v="1"/>
    </i>
    <i>
      <x v="2"/>
    </i>
    <i t="grand">
      <x/>
    </i>
  </rowItems>
  <colItems count="1">
    <i/>
  </colItems>
  <dataFields count="1">
    <dataField name="Sum of Revenue" fld="8" baseField="0" baseItem="0"/>
  </dataFields>
  <formats count="15">
    <format dxfId="187">
      <pivotArea type="all" dataOnly="0" outline="0" fieldPosition="0"/>
    </format>
    <format dxfId="186">
      <pivotArea outline="0" collapsedLevelsAreSubtotals="1" fieldPosition="0"/>
    </format>
    <format dxfId="185">
      <pivotArea outline="0" collapsedLevelsAreSubtotals="1" fieldPosition="0"/>
    </format>
    <format dxfId="184">
      <pivotArea type="all" dataOnly="0" outline="0" fieldPosition="0"/>
    </format>
    <format dxfId="183">
      <pivotArea outline="0" collapsedLevelsAreSubtotals="1" fieldPosition="0"/>
    </format>
    <format dxfId="182">
      <pivotArea field="3" type="button" dataOnly="0" labelOnly="1" outline="0" axis="axisRow" fieldPosition="0"/>
    </format>
    <format dxfId="181">
      <pivotArea dataOnly="0" labelOnly="1" fieldPosition="0">
        <references count="1">
          <reference field="3" count="0"/>
        </references>
      </pivotArea>
    </format>
    <format dxfId="180">
      <pivotArea dataOnly="0" labelOnly="1" grandRow="1" outline="0" fieldPosition="0"/>
    </format>
    <format dxfId="179">
      <pivotArea dataOnly="0" labelOnly="1" outline="0" axis="axisValues" fieldPosition="0"/>
    </format>
    <format dxfId="178">
      <pivotArea type="all" dataOnly="0" outline="0" fieldPosition="0"/>
    </format>
    <format dxfId="177">
      <pivotArea outline="0" collapsedLevelsAreSubtotals="1" fieldPosition="0"/>
    </format>
    <format dxfId="176">
      <pivotArea field="3" type="button" dataOnly="0" labelOnly="1" outline="0" axis="axisRow" fieldPosition="0"/>
    </format>
    <format dxfId="175">
      <pivotArea dataOnly="0" labelOnly="1" fieldPosition="0">
        <references count="1">
          <reference field="3" count="0"/>
        </references>
      </pivotArea>
    </format>
    <format dxfId="174">
      <pivotArea dataOnly="0" labelOnly="1" grandRow="1" outline="0" fieldPosition="0"/>
    </format>
    <format dxfId="173">
      <pivotArea dataOnly="0" labelOnly="1" outline="0" axis="axisValues" fieldPosition="0"/>
    </format>
  </formats>
  <chartFormats count="1">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FCF306-76CE-492F-8462-A7334637F3F9}"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12:M21" firstHeaderRow="1" firstDataRow="1" firstDataCol="1"/>
  <pivotFields count="18">
    <pivotField compact="0" outline="0" showAll="0"/>
    <pivotField compact="0" outline="0"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compact="0" outline="0" showAll="0"/>
    <pivotField compact="0" outline="0" showAll="0"/>
    <pivotField axis="axisRow" compact="0" outline="0" showAll="0" sortType="descending">
      <items count="9">
        <item x="3"/>
        <item x="2"/>
        <item x="6"/>
        <item x="1"/>
        <item x="7"/>
        <item x="5"/>
        <item x="0"/>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9" outline="0" showAll="0"/>
    <pivotField compact="0" outline="0" showAll="0"/>
    <pivotField compact="0" outline="0" showAll="0"/>
    <pivotField dataField="1" compact="0" numFmtId="165" outline="0" showAll="0"/>
    <pivotField compact="0" numFmtId="9"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4"/>
  </rowFields>
  <rowItems count="9">
    <i>
      <x v="6"/>
    </i>
    <i>
      <x v="1"/>
    </i>
    <i>
      <x v="5"/>
    </i>
    <i>
      <x v="7"/>
    </i>
    <i>
      <x v="3"/>
    </i>
    <i>
      <x v="2"/>
    </i>
    <i>
      <x/>
    </i>
    <i>
      <x v="4"/>
    </i>
    <i t="grand">
      <x/>
    </i>
  </rowItems>
  <colItems count="1">
    <i/>
  </colItems>
  <dataFields count="1">
    <dataField name="Sum of Profit" fld="10" baseField="0" baseItem="0" numFmtId="3"/>
  </dataFields>
  <formats count="15">
    <format dxfId="202">
      <pivotArea type="all" dataOnly="0" outline="0" fieldPosition="0"/>
    </format>
    <format dxfId="201">
      <pivotArea outline="0" collapsedLevelsAreSubtotals="1" fieldPosition="0"/>
    </format>
    <format dxfId="200">
      <pivotArea field="4" type="button" dataOnly="0" labelOnly="1" outline="0" axis="axisRow" fieldPosition="0"/>
    </format>
    <format dxfId="199">
      <pivotArea dataOnly="0" labelOnly="1" fieldPosition="0">
        <references count="1">
          <reference field="4" count="0"/>
        </references>
      </pivotArea>
    </format>
    <format dxfId="198">
      <pivotArea dataOnly="0" labelOnly="1" grandRow="1" outline="0"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field="4" type="button" dataOnly="0" labelOnly="1" outline="0" axis="axisRow" fieldPosition="0"/>
    </format>
    <format dxfId="193">
      <pivotArea dataOnly="0" labelOnly="1" fieldPosition="0">
        <references count="1">
          <reference field="4" count="0"/>
        </references>
      </pivotArea>
    </format>
    <format dxfId="192">
      <pivotArea dataOnly="0" labelOnly="1" grandRow="1" outline="0" fieldPosition="0"/>
    </format>
    <format dxfId="191">
      <pivotArea dataOnly="0" labelOnly="1" outline="0" axis="axisValues" fieldPosition="0"/>
    </format>
    <format dxfId="190">
      <pivotArea outline="0" collapsedLevelsAreSubtotals="1" fieldPosition="0"/>
    </format>
    <format dxfId="189">
      <pivotArea outline="0" collapsedLevelsAreSubtotals="1" fieldPosition="0"/>
    </format>
    <format dxfId="188">
      <pivotArea outline="0" fieldPosition="0">
        <references count="1">
          <reference field="4"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AC261BE-94F2-44A4-BFC8-433CCB63443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9:C60" firstHeaderRow="1" firstDataRow="1" firstDataCol="0"/>
  <pivotFields count="18">
    <pivotField showAll="0"/>
    <pivotField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showAll="0">
      <items count="5">
        <item x="2"/>
        <item x="1"/>
        <item x="0"/>
        <item x="3"/>
        <item t="default"/>
      </items>
    </pivotField>
    <pivotField showAll="0">
      <items count="4">
        <item x="2"/>
        <item x="0"/>
        <item x="1"/>
        <item t="default"/>
      </items>
    </pivotField>
    <pivotField showAll="0">
      <items count="9">
        <item x="3"/>
        <item x="2"/>
        <item x="6"/>
        <item x="1"/>
        <item x="7"/>
        <item x="5"/>
        <item x="0"/>
        <item x="4"/>
        <item t="default"/>
      </items>
    </pivotField>
    <pivotField showAll="0"/>
    <pivotField showAll="0"/>
    <pivotField numFmtId="9" showAll="0"/>
    <pivotField showAll="0"/>
    <pivotField showAll="0"/>
    <pivotField dataField="1" numFmtId="165" showAll="0"/>
    <pivotField numFmtId="9"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 Profit" fld="10" baseField="0" baseItem="0" numFmtId="167"/>
  </dataFields>
  <formats count="18">
    <format dxfId="220">
      <pivotArea type="all" dataOnly="0" outline="0" fieldPosition="0"/>
    </format>
    <format dxfId="219">
      <pivotArea outline="0" collapsedLevelsAreSubtotals="1" fieldPosition="0"/>
    </format>
    <format dxfId="218">
      <pivotArea dataOnly="0" labelOnly="1" outline="0" axis="axisValues" fieldPosition="0"/>
    </format>
    <format dxfId="217">
      <pivotArea dataOnly="0" labelOnly="1" outline="0" axis="axisValues" fieldPosition="0"/>
    </format>
    <format dxfId="216">
      <pivotArea dataOnly="0" labelOnly="1" outline="0" axis="axisValues" fieldPosition="0"/>
    </format>
    <format dxfId="215">
      <pivotArea outline="0" collapsedLevelsAreSubtotals="1" fieldPosition="0"/>
    </format>
    <format dxfId="214">
      <pivotArea type="all" dataOnly="0" outline="0" fieldPosition="0"/>
    </format>
    <format dxfId="213">
      <pivotArea outline="0" collapsedLevelsAreSubtotals="1"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outline="0" fieldPosition="0">
        <references count="1">
          <reference field="4294967294" count="1">
            <x v="0"/>
          </reference>
        </references>
      </pivotArea>
    </format>
    <format dxfId="208">
      <pivotArea type="all" dataOnly="0" outline="0" fieldPosition="0"/>
    </format>
    <format dxfId="207">
      <pivotArea outline="0" collapsedLevelsAreSubtotals="1"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28112BA-1649-4363-9D1C-19B761EF4501}"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D37:E50" firstHeaderRow="1" firstDataRow="1" firstDataCol="1"/>
  <pivotFields count="18">
    <pivotField compact="0" outline="0" showAll="0"/>
    <pivotField compact="0" outline="0"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compact="0" outline="0" showAll="0">
      <items count="5">
        <item x="2"/>
        <item x="1"/>
        <item x="0"/>
        <item x="3"/>
        <item t="default"/>
      </items>
    </pivotField>
    <pivotField compact="0" outline="0" showAll="0">
      <items count="4">
        <item x="2"/>
        <item x="0"/>
        <item x="1"/>
        <item t="default"/>
      </items>
    </pivotField>
    <pivotField compact="0" outline="0" showAll="0">
      <items count="9">
        <item x="3"/>
        <item x="2"/>
        <item x="6"/>
        <item x="1"/>
        <item x="7"/>
        <item x="5"/>
        <item x="0"/>
        <item x="4"/>
        <item t="default"/>
      </items>
    </pivotField>
    <pivotField compact="0" outline="0" showAll="0"/>
    <pivotField compact="0" outline="0" showAll="0"/>
    <pivotField compact="0" numFmtId="9" outline="0" showAll="0"/>
    <pivotField compact="0" outline="0" showAll="0"/>
    <pivotField compact="0" outline="0" showAll="0"/>
    <pivotField dataField="1" compact="0" numFmtId="165" outline="0" showAll="0"/>
    <pivotField compact="0" numFmtId="9" outline="0" showAll="0"/>
    <pivotField compact="0" outline="0" showAll="0" defaultSubtotal="0"/>
    <pivotField axis="axisRow" compact="0" outline="0" showAll="0" defaultSubtotal="0">
      <items count="14">
        <item x="0"/>
        <item x="1"/>
        <item x="2"/>
        <item x="3"/>
        <item x="4"/>
        <item x="5"/>
        <item x="6"/>
        <item x="7"/>
        <item x="8"/>
        <item x="9"/>
        <item x="10"/>
        <item x="11"/>
        <item x="12"/>
        <item x="13"/>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3"/>
  </rowFields>
  <rowItems count="13">
    <i>
      <x v="1"/>
    </i>
    <i>
      <x v="2"/>
    </i>
    <i>
      <x v="3"/>
    </i>
    <i>
      <x v="4"/>
    </i>
    <i>
      <x v="5"/>
    </i>
    <i>
      <x v="6"/>
    </i>
    <i>
      <x v="7"/>
    </i>
    <i>
      <x v="8"/>
    </i>
    <i>
      <x v="9"/>
    </i>
    <i>
      <x v="10"/>
    </i>
    <i>
      <x v="11"/>
    </i>
    <i>
      <x v="12"/>
    </i>
    <i t="grand">
      <x/>
    </i>
  </rowItems>
  <colItems count="1">
    <i/>
  </colItems>
  <dataFields count="1">
    <dataField name="Sum of Profit" fld="10" baseField="0" baseItem="0" numFmtId="167"/>
  </dataFields>
  <formats count="15">
    <format dxfId="235">
      <pivotArea type="all" dataOnly="0" outline="0" fieldPosition="0"/>
    </format>
    <format dxfId="234">
      <pivotArea outline="0" collapsedLevelsAreSubtotals="1" fieldPosition="0"/>
    </format>
    <format dxfId="233">
      <pivotArea outline="0" collapsedLevelsAreSubtotals="1" fieldPosition="0"/>
    </format>
    <format dxfId="232">
      <pivotArea type="all" dataOnly="0" outline="0" fieldPosition="0"/>
    </format>
    <format dxfId="231">
      <pivotArea outline="0" collapsedLevelsAreSubtotals="1" fieldPosition="0"/>
    </format>
    <format dxfId="230">
      <pivotArea field="13" type="button" dataOnly="0" labelOnly="1" outline="0" axis="axisRow" fieldPosition="0"/>
    </format>
    <format dxfId="229">
      <pivotArea dataOnly="0" labelOnly="1" fieldPosition="0">
        <references count="1">
          <reference field="13" count="12">
            <x v="1"/>
            <x v="2"/>
            <x v="3"/>
            <x v="4"/>
            <x v="5"/>
            <x v="6"/>
            <x v="7"/>
            <x v="8"/>
            <x v="9"/>
            <x v="10"/>
            <x v="11"/>
            <x v="12"/>
          </reference>
        </references>
      </pivotArea>
    </format>
    <format dxfId="228">
      <pivotArea dataOnly="0" labelOnly="1" grandRow="1" outline="0" fieldPosition="0"/>
    </format>
    <format dxfId="227">
      <pivotArea dataOnly="0" labelOnly="1" outline="0" axis="axisValues" fieldPosition="0"/>
    </format>
    <format dxfId="226">
      <pivotArea type="all" dataOnly="0" outline="0" fieldPosition="0"/>
    </format>
    <format dxfId="225">
      <pivotArea outline="0" collapsedLevelsAreSubtotals="1" fieldPosition="0"/>
    </format>
    <format dxfId="224">
      <pivotArea field="13" type="button" dataOnly="0" labelOnly="1" outline="0" axis="axisRow" fieldPosition="0"/>
    </format>
    <format dxfId="223">
      <pivotArea dataOnly="0" labelOnly="1" fieldPosition="0">
        <references count="1">
          <reference field="13" count="12">
            <x v="1"/>
            <x v="2"/>
            <x v="3"/>
            <x v="4"/>
            <x v="5"/>
            <x v="6"/>
            <x v="7"/>
            <x v="8"/>
            <x v="9"/>
            <x v="10"/>
            <x v="11"/>
            <x v="12"/>
          </reference>
        </references>
      </pivotArea>
    </format>
    <format dxfId="222">
      <pivotArea dataOnly="0" labelOnly="1" grandRow="1" outline="0" fieldPosition="0"/>
    </format>
    <format dxfId="221">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9E4E9BC-D920-4FD8-99D5-8083CE9A5CBA}"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12:P21" firstHeaderRow="1" firstDataRow="1" firstDataCol="1"/>
  <pivotFields count="18">
    <pivotField compact="0" outline="0" showAll="0"/>
    <pivotField compact="0" outline="0" showAll="0">
      <items count="262">
        <item x="46"/>
        <item x="94"/>
        <item x="44"/>
        <item x="202"/>
        <item x="90"/>
        <item x="245"/>
        <item x="182"/>
        <item x="24"/>
        <item x="8"/>
        <item x="218"/>
        <item x="85"/>
        <item x="32"/>
        <item x="66"/>
        <item x="168"/>
        <item x="6"/>
        <item x="71"/>
        <item x="51"/>
        <item x="251"/>
        <item x="97"/>
        <item x="257"/>
        <item x="131"/>
        <item x="211"/>
        <item x="50"/>
        <item x="106"/>
        <item x="80"/>
        <item x="82"/>
        <item x="179"/>
        <item x="201"/>
        <item x="122"/>
        <item x="10"/>
        <item x="166"/>
        <item x="61"/>
        <item x="192"/>
        <item x="246"/>
        <item x="23"/>
        <item x="177"/>
        <item x="45"/>
        <item x="189"/>
        <item x="178"/>
        <item x="198"/>
        <item x="217"/>
        <item x="224"/>
        <item x="175"/>
        <item x="58"/>
        <item x="158"/>
        <item x="129"/>
        <item x="143"/>
        <item x="111"/>
        <item x="1"/>
        <item x="124"/>
        <item x="219"/>
        <item x="48"/>
        <item x="31"/>
        <item x="92"/>
        <item x="132"/>
        <item x="15"/>
        <item x="53"/>
        <item x="244"/>
        <item x="39"/>
        <item x="226"/>
        <item x="35"/>
        <item x="157"/>
        <item x="130"/>
        <item x="68"/>
        <item x="121"/>
        <item x="104"/>
        <item x="242"/>
        <item x="209"/>
        <item x="255"/>
        <item x="59"/>
        <item x="258"/>
        <item x="163"/>
        <item x="207"/>
        <item x="150"/>
        <item x="169"/>
        <item x="43"/>
        <item x="87"/>
        <item x="214"/>
        <item x="113"/>
        <item x="13"/>
        <item x="133"/>
        <item x="235"/>
        <item x="195"/>
        <item x="249"/>
        <item x="230"/>
        <item x="65"/>
        <item x="73"/>
        <item x="28"/>
        <item x="234"/>
        <item x="222"/>
        <item x="145"/>
        <item x="7"/>
        <item x="139"/>
        <item x="110"/>
        <item x="203"/>
        <item x="11"/>
        <item x="136"/>
        <item x="180"/>
        <item x="170"/>
        <item x="250"/>
        <item x="74"/>
        <item x="228"/>
        <item x="210"/>
        <item x="41"/>
        <item x="213"/>
        <item x="260"/>
        <item x="5"/>
        <item x="186"/>
        <item x="20"/>
        <item x="56"/>
        <item x="220"/>
        <item x="86"/>
        <item x="127"/>
        <item x="38"/>
        <item x="18"/>
        <item x="103"/>
        <item x="89"/>
        <item x="40"/>
        <item x="101"/>
        <item x="162"/>
        <item x="200"/>
        <item x="232"/>
        <item x="47"/>
        <item x="123"/>
        <item x="76"/>
        <item x="37"/>
        <item x="63"/>
        <item x="185"/>
        <item x="125"/>
        <item x="29"/>
        <item x="233"/>
        <item x="147"/>
        <item x="248"/>
        <item x="241"/>
        <item x="67"/>
        <item x="69"/>
        <item x="229"/>
        <item x="184"/>
        <item x="96"/>
        <item x="3"/>
        <item x="181"/>
        <item x="216"/>
        <item x="231"/>
        <item x="253"/>
        <item x="55"/>
        <item x="54"/>
        <item x="26"/>
        <item x="119"/>
        <item x="141"/>
        <item x="239"/>
        <item x="91"/>
        <item x="36"/>
        <item x="107"/>
        <item x="187"/>
        <item x="256"/>
        <item x="25"/>
        <item x="156"/>
        <item x="105"/>
        <item x="52"/>
        <item x="128"/>
        <item x="204"/>
        <item x="19"/>
        <item x="254"/>
        <item x="223"/>
        <item x="154"/>
        <item x="108"/>
        <item x="83"/>
        <item x="212"/>
        <item x="252"/>
        <item x="79"/>
        <item x="236"/>
        <item x="167"/>
        <item x="173"/>
        <item x="84"/>
        <item x="171"/>
        <item x="93"/>
        <item x="70"/>
        <item x="116"/>
        <item x="126"/>
        <item x="221"/>
        <item x="4"/>
        <item x="140"/>
        <item x="118"/>
        <item x="117"/>
        <item x="21"/>
        <item x="237"/>
        <item x="240"/>
        <item x="99"/>
        <item x="135"/>
        <item x="78"/>
        <item x="138"/>
        <item x="77"/>
        <item x="146"/>
        <item x="98"/>
        <item x="149"/>
        <item x="215"/>
        <item x="148"/>
        <item x="137"/>
        <item x="72"/>
        <item x="49"/>
        <item x="172"/>
        <item x="174"/>
        <item x="190"/>
        <item x="42"/>
        <item x="164"/>
        <item x="183"/>
        <item x="205"/>
        <item x="88"/>
        <item x="206"/>
        <item x="196"/>
        <item x="17"/>
        <item x="197"/>
        <item x="114"/>
        <item x="100"/>
        <item x="60"/>
        <item x="16"/>
        <item x="247"/>
        <item x="193"/>
        <item x="22"/>
        <item x="243"/>
        <item x="161"/>
        <item x="120"/>
        <item x="109"/>
        <item x="9"/>
        <item x="176"/>
        <item x="227"/>
        <item x="134"/>
        <item x="12"/>
        <item x="95"/>
        <item x="33"/>
        <item x="238"/>
        <item x="153"/>
        <item x="2"/>
        <item x="30"/>
        <item x="115"/>
        <item x="64"/>
        <item x="191"/>
        <item x="57"/>
        <item x="14"/>
        <item x="159"/>
        <item x="194"/>
        <item x="259"/>
        <item x="152"/>
        <item x="160"/>
        <item x="188"/>
        <item x="75"/>
        <item x="34"/>
        <item x="155"/>
        <item x="165"/>
        <item x="27"/>
        <item x="0"/>
        <item x="208"/>
        <item x="151"/>
        <item x="62"/>
        <item x="199"/>
        <item x="142"/>
        <item x="225"/>
        <item x="112"/>
        <item x="81"/>
        <item x="144"/>
        <item x="102"/>
        <item t="default"/>
      </items>
    </pivotField>
    <pivotField compact="0" outline="0" showAll="0"/>
    <pivotField compact="0" outline="0" showAll="0"/>
    <pivotField axis="axisRow" compact="0" outline="0" showAll="0">
      <items count="9">
        <item x="3"/>
        <item x="2"/>
        <item x="6"/>
        <item x="1"/>
        <item x="7"/>
        <item x="5"/>
        <item x="0"/>
        <item x="4"/>
        <item t="default"/>
      </items>
    </pivotField>
    <pivotField compact="0" outline="0" showAll="0"/>
    <pivotField compact="0" outline="0" showAll="0"/>
    <pivotField compact="0" numFmtId="9" outline="0" showAll="0"/>
    <pivotField compact="0" outline="0" showAll="0"/>
    <pivotField compact="0" outline="0" showAll="0"/>
    <pivotField compact="0" numFmtId="165" outline="0" showAll="0"/>
    <pivotField compact="0" numFmtId="9"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s>
  <rowFields count="1">
    <field x="4"/>
  </rowFields>
  <rowItems count="9">
    <i>
      <x/>
    </i>
    <i>
      <x v="1"/>
    </i>
    <i>
      <x v="2"/>
    </i>
    <i>
      <x v="3"/>
    </i>
    <i>
      <x v="4"/>
    </i>
    <i>
      <x v="5"/>
    </i>
    <i>
      <x v="6"/>
    </i>
    <i>
      <x v="7"/>
    </i>
    <i t="grand">
      <x/>
    </i>
  </rowItems>
  <colItems count="1">
    <i/>
  </colItems>
  <dataFields count="1">
    <dataField name="Sum of Profit m" fld="16" baseField="0" baseItem="0" numFmtId="9"/>
  </dataFields>
  <formats count="14">
    <format dxfId="249">
      <pivotArea collapsedLevelsAreSubtotals="1" fieldPosition="0">
        <references count="1">
          <reference field="4" count="1">
            <x v="4"/>
          </reference>
        </references>
      </pivotArea>
    </format>
    <format dxfId="248">
      <pivotArea type="all" dataOnly="0" outline="0" fieldPosition="0"/>
    </format>
    <format dxfId="247">
      <pivotArea outline="0" collapsedLevelsAreSubtotals="1" fieldPosition="0"/>
    </format>
    <format dxfId="246">
      <pivotArea field="4" type="button" dataOnly="0" labelOnly="1" outline="0" axis="axisRow" fieldPosition="0"/>
    </format>
    <format dxfId="245">
      <pivotArea dataOnly="0" labelOnly="1" fieldPosition="0">
        <references count="1">
          <reference field="4" count="0"/>
        </references>
      </pivotArea>
    </format>
    <format dxfId="244">
      <pivotArea dataOnly="0" labelOnly="1" grandRow="1" outline="0" fieldPosition="0"/>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field="4" type="button" dataOnly="0" labelOnly="1" outline="0" axis="axisRow" fieldPosition="0"/>
    </format>
    <format dxfId="239">
      <pivotArea dataOnly="0" labelOnly="1" fieldPosition="0">
        <references count="1">
          <reference field="4" count="0"/>
        </references>
      </pivotArea>
    </format>
    <format dxfId="238">
      <pivotArea dataOnly="0" labelOnly="1" grandRow="1" outline="0" fieldPosition="0"/>
    </format>
    <format dxfId="237">
      <pivotArea dataOnly="0" labelOnly="1" outline="0" axis="axisValues" fieldPosition="0"/>
    </format>
    <format dxfId="2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AFD37F-675D-47ED-BE8B-B0F8F105BFEB}" sourceName="Region">
  <pivotTables>
    <pivotTable tabId="3" name="PivotTable11"/>
    <pivotTable tabId="3" name="PivotTable12"/>
    <pivotTable tabId="3" name="PivotTable17"/>
    <pivotTable tabId="3" name="PivotTable13"/>
    <pivotTable tabId="3" name="PivotTable15"/>
    <pivotTable tabId="3" name="PivotTable7"/>
    <pivotTable tabId="3" name="PivotTable6"/>
    <pivotTable tabId="3" name="PivotTable8"/>
    <pivotTable tabId="3" name="PivotTable9"/>
    <pivotTable tabId="3" name="PivotTable10"/>
  </pivotTables>
  <data>
    <tabular pivotCacheId="162288929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E56955D-31CC-4C80-AFDB-1914AE7DC671}" sourceName="Channel">
  <pivotTables>
    <pivotTable tabId="3" name="PivotTable11"/>
    <pivotTable tabId="3" name="PivotTable12"/>
    <pivotTable tabId="3" name="PivotTable17"/>
    <pivotTable tabId="3" name="PivotTable13"/>
    <pivotTable tabId="3" name="PivotTable15"/>
    <pivotTable tabId="3" name="PivotTable7"/>
    <pivotTable tabId="3" name="PivotTable6"/>
    <pivotTable tabId="3" name="PivotTable8"/>
    <pivotTable tabId="3" name="PivotTable9"/>
    <pivotTable tabId="3" name="PivotTable10"/>
  </pivotTables>
  <data>
    <tabular pivotCacheId="162288929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E817F8D-B4AD-4A23-8BB6-AB6D3540F1B7}" sourceName="Product">
  <pivotTables>
    <pivotTable tabId="3" name="PivotTable11"/>
    <pivotTable tabId="3" name="PivotTable12"/>
    <pivotTable tabId="3" name="PivotTable17"/>
    <pivotTable tabId="3" name="PivotTable13"/>
    <pivotTable tabId="3" name="PivotTable15"/>
    <pivotTable tabId="3" name="PivotTable7"/>
    <pivotTable tabId="3" name="PivotTable6"/>
    <pivotTable tabId="3" name="PivotTable8"/>
    <pivotTable tabId="3" name="PivotTable9"/>
    <pivotTable tabId="3" name="PivotTable10"/>
  </pivotTables>
  <data>
    <tabular pivotCacheId="1622889295">
      <items count="8">
        <i x="3" s="1"/>
        <i x="2" s="1"/>
        <i x="6" s="1"/>
        <i x="1" s="1"/>
        <i x="7" s="1"/>
        <i x="5"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825E900-9338-4991-91AB-7680F741CC08}" cache="Slicer_Region" caption="Region" columnCount="2" style="SlicerStyleDark1" rowHeight="234950"/>
  <slicer name="Channel" xr10:uid="{0C1FE537-FB4D-4164-B176-13CB6B843AB7}" cache="Slicer_Channel" caption="Channel" style="SlicerStyleDark1" rowHeight="234950"/>
  <slicer name="Product" xr10:uid="{F4F0F0BC-E9C0-4404-A61C-DEF9A784D61D}" cache="Slicer_Product" caption="Product" columnCount="3"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66F1BF-9233-45DB-ABB5-7A7795E2D93A}" name="Table2" displayName="Table2" ref="A1:L501" totalsRowShown="0" headerRowDxfId="264" dataDxfId="262" headerRowBorderDxfId="263">
  <autoFilter ref="A1:L501" xr:uid="{C366F1BF-9233-45DB-ABB5-7A7795E2D93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0C6B021-1FC6-4F2C-8DCA-5D270DB2D2A8}" name="Order ID" dataDxfId="261"/>
    <tableColumn id="2" xr3:uid="{DB16EA12-2A7B-4540-A85C-F427B9B81CBE}" name="Date" dataDxfId="260"/>
    <tableColumn id="3" xr3:uid="{8775B43D-F320-4D13-8AFC-987DA8A5BB0E}" name="Region" dataDxfId="259"/>
    <tableColumn id="4" xr3:uid="{5141739B-59E1-42CD-B2B6-BF73EEDD907B}" name="Channel" dataDxfId="258"/>
    <tableColumn id="5" xr3:uid="{5C4815FB-89B8-49FB-9DAA-0FD8DA6B24EA}" name="Product" dataDxfId="257"/>
    <tableColumn id="6" xr3:uid="{7FFCA0F2-09D4-4235-92A0-CC559D452E89}" name="Units" dataDxfId="256"/>
    <tableColumn id="7" xr3:uid="{84EC58C8-1E45-4B35-B106-9D9DB56234AB}" name="Unit Price" dataDxfId="255"/>
    <tableColumn id="8" xr3:uid="{90047CBC-6427-4319-884F-336C64450DE5}" name="Discount" dataDxfId="254"/>
    <tableColumn id="9" xr3:uid="{22693463-DB66-47D4-9D01-DC9A2E4168FC}" name="Revenue" dataDxfId="253"/>
    <tableColumn id="10" xr3:uid="{7EDF173B-A064-4421-92F8-9663ACDBC3BB}" name="Cost" dataDxfId="252"/>
    <tableColumn id="11" xr3:uid="{72B1E0A2-0856-450F-A717-1A1C7C5EDAC6}" name="Profit" dataDxfId="251"/>
    <tableColumn id="13" xr3:uid="{0ACAEB17-1D26-4D3B-A710-F242FF99851D}" name="profit Margin" dataDxfId="250">
      <calculatedColumnFormula>(Table2[[#This Row],[Profit]]/Table2[[#This Row],[Revenue]])</calculatedColumnFormula>
    </tableColumn>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19E00-CF3D-46D5-B918-2547271463E1}">
  <dimension ref="A1:K501"/>
  <sheetViews>
    <sheetView tabSelected="1" workbookViewId="0">
      <selection sqref="A1:K501"/>
    </sheetView>
  </sheetViews>
  <sheetFormatPr defaultRowHeight="14.4" x14ac:dyDescent="0.3"/>
  <sheetData>
    <row r="1" spans="1:11" x14ac:dyDescent="0.3">
      <c r="A1" s="82" t="s">
        <v>0</v>
      </c>
      <c r="B1" s="82" t="s">
        <v>1</v>
      </c>
      <c r="C1" s="82" t="s">
        <v>2</v>
      </c>
      <c r="D1" s="82" t="s">
        <v>3</v>
      </c>
      <c r="E1" s="82" t="s">
        <v>4</v>
      </c>
      <c r="F1" s="82" t="s">
        <v>5</v>
      </c>
      <c r="G1" s="82" t="s">
        <v>6</v>
      </c>
      <c r="H1" s="82" t="s">
        <v>7</v>
      </c>
      <c r="I1" s="82" t="s">
        <v>8</v>
      </c>
      <c r="J1" s="82" t="s">
        <v>9</v>
      </c>
      <c r="K1" s="82" t="s">
        <v>10</v>
      </c>
    </row>
    <row r="2" spans="1:11" x14ac:dyDescent="0.3">
      <c r="A2" t="s">
        <v>11</v>
      </c>
      <c r="B2" s="81">
        <v>46006</v>
      </c>
      <c r="C2" t="s">
        <v>12</v>
      </c>
      <c r="D2" t="s">
        <v>13</v>
      </c>
      <c r="E2" t="s">
        <v>14</v>
      </c>
      <c r="F2">
        <v>5</v>
      </c>
      <c r="G2">
        <v>705.23</v>
      </c>
      <c r="H2">
        <v>0.05</v>
      </c>
      <c r="I2">
        <v>3349.83</v>
      </c>
      <c r="J2">
        <v>2355.65</v>
      </c>
      <c r="K2">
        <v>994.19</v>
      </c>
    </row>
    <row r="3" spans="1:11" x14ac:dyDescent="0.3">
      <c r="A3" t="s">
        <v>15</v>
      </c>
      <c r="B3" s="81">
        <v>45726</v>
      </c>
      <c r="C3" t="s">
        <v>16</v>
      </c>
      <c r="D3" t="s">
        <v>17</v>
      </c>
      <c r="E3" t="s">
        <v>18</v>
      </c>
      <c r="F3">
        <v>9</v>
      </c>
      <c r="G3">
        <v>91.77</v>
      </c>
      <c r="H3">
        <v>0.05</v>
      </c>
      <c r="I3">
        <v>784.62</v>
      </c>
      <c r="J3">
        <v>357.45</v>
      </c>
      <c r="K3">
        <v>427.17</v>
      </c>
    </row>
    <row r="4" spans="1:11" x14ac:dyDescent="0.3">
      <c r="A4" t="s">
        <v>19</v>
      </c>
      <c r="B4" s="81">
        <v>45983</v>
      </c>
      <c r="C4" t="s">
        <v>16</v>
      </c>
      <c r="D4" t="s">
        <v>17</v>
      </c>
      <c r="E4" t="s">
        <v>14</v>
      </c>
      <c r="F4">
        <v>8</v>
      </c>
      <c r="G4">
        <v>270.01</v>
      </c>
      <c r="H4">
        <v>0.15</v>
      </c>
      <c r="I4">
        <v>1836.06</v>
      </c>
      <c r="J4">
        <v>963.35</v>
      </c>
      <c r="K4">
        <v>872.71</v>
      </c>
    </row>
    <row r="5" spans="1:11" x14ac:dyDescent="0.3">
      <c r="A5" t="s">
        <v>20</v>
      </c>
      <c r="B5" s="81">
        <v>45859</v>
      </c>
      <c r="C5" t="s">
        <v>21</v>
      </c>
      <c r="D5" t="s">
        <v>13</v>
      </c>
      <c r="E5" t="s">
        <v>22</v>
      </c>
      <c r="F5">
        <v>6</v>
      </c>
      <c r="G5">
        <v>679.43</v>
      </c>
      <c r="H5">
        <v>0</v>
      </c>
      <c r="I5">
        <v>4076.55</v>
      </c>
      <c r="J5">
        <v>3049.07</v>
      </c>
      <c r="K5">
        <v>1027.48</v>
      </c>
    </row>
    <row r="6" spans="1:11" x14ac:dyDescent="0.3">
      <c r="A6" t="s">
        <v>23</v>
      </c>
      <c r="B6" s="81">
        <v>45915</v>
      </c>
      <c r="C6" t="s">
        <v>16</v>
      </c>
      <c r="D6" t="s">
        <v>17</v>
      </c>
      <c r="E6" t="s">
        <v>24</v>
      </c>
      <c r="F6">
        <v>10</v>
      </c>
      <c r="G6">
        <v>412.21</v>
      </c>
      <c r="H6">
        <v>0.05</v>
      </c>
      <c r="I6">
        <v>3916</v>
      </c>
      <c r="J6">
        <v>2252.16</v>
      </c>
      <c r="K6">
        <v>1663.85</v>
      </c>
    </row>
    <row r="7" spans="1:11" x14ac:dyDescent="0.3">
      <c r="A7" t="s">
        <v>25</v>
      </c>
      <c r="B7" s="81">
        <v>45809</v>
      </c>
      <c r="C7" t="s">
        <v>16</v>
      </c>
      <c r="D7" t="s">
        <v>17</v>
      </c>
      <c r="E7" t="s">
        <v>26</v>
      </c>
      <c r="F7">
        <v>8</v>
      </c>
      <c r="G7">
        <v>323.64999999999998</v>
      </c>
      <c r="H7">
        <v>0</v>
      </c>
      <c r="I7">
        <v>2589.1999999999998</v>
      </c>
      <c r="J7">
        <v>1569.77</v>
      </c>
      <c r="K7">
        <v>1019.43</v>
      </c>
    </row>
    <row r="8" spans="1:11" x14ac:dyDescent="0.3">
      <c r="A8" t="s">
        <v>27</v>
      </c>
      <c r="B8" s="81">
        <v>45677</v>
      </c>
      <c r="C8" t="s">
        <v>28</v>
      </c>
      <c r="D8" t="s">
        <v>17</v>
      </c>
      <c r="E8" t="s">
        <v>29</v>
      </c>
      <c r="F8">
        <v>5</v>
      </c>
      <c r="G8">
        <v>415.77</v>
      </c>
      <c r="H8">
        <v>0.05</v>
      </c>
      <c r="I8">
        <v>1974.89</v>
      </c>
      <c r="J8">
        <v>1343.1</v>
      </c>
      <c r="K8">
        <v>631.79</v>
      </c>
    </row>
    <row r="9" spans="1:11" x14ac:dyDescent="0.3">
      <c r="A9" t="s">
        <v>30</v>
      </c>
      <c r="B9" s="81">
        <v>45788</v>
      </c>
      <c r="C9" t="s">
        <v>28</v>
      </c>
      <c r="D9" t="s">
        <v>13</v>
      </c>
      <c r="E9" t="s">
        <v>31</v>
      </c>
      <c r="F9">
        <v>2</v>
      </c>
      <c r="G9">
        <v>385.6</v>
      </c>
      <c r="H9">
        <v>0.2</v>
      </c>
      <c r="I9">
        <v>616.96</v>
      </c>
      <c r="J9">
        <v>448.99</v>
      </c>
      <c r="K9">
        <v>167.97</v>
      </c>
    </row>
    <row r="10" spans="1:11" x14ac:dyDescent="0.3">
      <c r="A10" t="s">
        <v>32</v>
      </c>
      <c r="B10" s="81">
        <v>45670</v>
      </c>
      <c r="C10" t="s">
        <v>12</v>
      </c>
      <c r="D10" t="s">
        <v>33</v>
      </c>
      <c r="E10" t="s">
        <v>34</v>
      </c>
      <c r="F10">
        <v>6</v>
      </c>
      <c r="G10">
        <v>596.41999999999996</v>
      </c>
      <c r="H10">
        <v>0</v>
      </c>
      <c r="I10">
        <v>3578.52</v>
      </c>
      <c r="J10">
        <v>2117.84</v>
      </c>
      <c r="K10">
        <v>1460.68</v>
      </c>
    </row>
    <row r="11" spans="1:11" x14ac:dyDescent="0.3">
      <c r="A11" t="s">
        <v>35</v>
      </c>
      <c r="B11" s="81">
        <v>45973</v>
      </c>
      <c r="C11" t="s">
        <v>28</v>
      </c>
      <c r="D11" t="s">
        <v>17</v>
      </c>
      <c r="E11" t="s">
        <v>22</v>
      </c>
      <c r="F11">
        <v>4</v>
      </c>
      <c r="G11">
        <v>631.1</v>
      </c>
      <c r="H11">
        <v>0.2</v>
      </c>
      <c r="I11">
        <v>2019.53</v>
      </c>
      <c r="J11">
        <v>1391.49</v>
      </c>
      <c r="K11">
        <v>628.03</v>
      </c>
    </row>
    <row r="12" spans="1:11" x14ac:dyDescent="0.3">
      <c r="A12" t="s">
        <v>36</v>
      </c>
      <c r="B12" s="81">
        <v>45697</v>
      </c>
      <c r="C12" t="s">
        <v>28</v>
      </c>
      <c r="D12" t="s">
        <v>33</v>
      </c>
      <c r="E12" t="s">
        <v>22</v>
      </c>
      <c r="F12">
        <v>9</v>
      </c>
      <c r="G12">
        <v>783.65</v>
      </c>
      <c r="H12">
        <v>0</v>
      </c>
      <c r="I12">
        <v>7052.85</v>
      </c>
      <c r="J12">
        <v>4279.4399999999996</v>
      </c>
      <c r="K12">
        <v>2773.42</v>
      </c>
    </row>
    <row r="13" spans="1:11" x14ac:dyDescent="0.3">
      <c r="A13" t="s">
        <v>37</v>
      </c>
      <c r="B13" s="81">
        <v>45793</v>
      </c>
      <c r="C13" t="s">
        <v>12</v>
      </c>
      <c r="D13" t="s">
        <v>13</v>
      </c>
      <c r="E13" t="s">
        <v>14</v>
      </c>
      <c r="F13">
        <v>9</v>
      </c>
      <c r="G13">
        <v>99.6</v>
      </c>
      <c r="H13">
        <v>0.1</v>
      </c>
      <c r="I13">
        <v>806.8</v>
      </c>
      <c r="J13">
        <v>476.68</v>
      </c>
      <c r="K13">
        <v>330.11</v>
      </c>
    </row>
    <row r="14" spans="1:11" x14ac:dyDescent="0.3">
      <c r="A14" t="s">
        <v>38</v>
      </c>
      <c r="B14" s="81">
        <v>45978</v>
      </c>
      <c r="C14" t="s">
        <v>16</v>
      </c>
      <c r="D14" t="s">
        <v>13</v>
      </c>
      <c r="E14" t="s">
        <v>24</v>
      </c>
      <c r="F14">
        <v>6</v>
      </c>
      <c r="G14">
        <v>710.45</v>
      </c>
      <c r="H14">
        <v>0.2</v>
      </c>
      <c r="I14">
        <v>3410.15</v>
      </c>
      <c r="J14">
        <v>1842.45</v>
      </c>
      <c r="K14">
        <v>1567.7</v>
      </c>
    </row>
    <row r="15" spans="1:11" x14ac:dyDescent="0.3">
      <c r="A15" t="s">
        <v>39</v>
      </c>
      <c r="B15" s="81">
        <v>45768</v>
      </c>
      <c r="C15" t="s">
        <v>16</v>
      </c>
      <c r="D15" t="s">
        <v>33</v>
      </c>
      <c r="E15" t="s">
        <v>26</v>
      </c>
      <c r="F15">
        <v>3</v>
      </c>
      <c r="G15">
        <v>477.32</v>
      </c>
      <c r="H15">
        <v>0.05</v>
      </c>
      <c r="I15">
        <v>1360.35</v>
      </c>
      <c r="J15">
        <v>982.68</v>
      </c>
      <c r="K15">
        <v>377.67</v>
      </c>
    </row>
    <row r="16" spans="1:11" x14ac:dyDescent="0.3">
      <c r="A16" t="s">
        <v>40</v>
      </c>
      <c r="B16" s="81">
        <v>45990</v>
      </c>
      <c r="C16" t="s">
        <v>12</v>
      </c>
      <c r="D16" t="s">
        <v>17</v>
      </c>
      <c r="E16" t="s">
        <v>22</v>
      </c>
      <c r="F16">
        <v>7</v>
      </c>
      <c r="G16">
        <v>252.33</v>
      </c>
      <c r="H16">
        <v>0</v>
      </c>
      <c r="I16">
        <v>1766.34</v>
      </c>
      <c r="J16">
        <v>1025.2</v>
      </c>
      <c r="K16">
        <v>741.14</v>
      </c>
    </row>
    <row r="17" spans="1:11" x14ac:dyDescent="0.3">
      <c r="A17" t="s">
        <v>41</v>
      </c>
      <c r="B17" s="81">
        <v>45734</v>
      </c>
      <c r="C17" t="s">
        <v>12</v>
      </c>
      <c r="D17" t="s">
        <v>13</v>
      </c>
      <c r="E17" t="s">
        <v>18</v>
      </c>
      <c r="F17">
        <v>7</v>
      </c>
      <c r="G17">
        <v>720.13</v>
      </c>
      <c r="H17">
        <v>0.1</v>
      </c>
      <c r="I17">
        <v>4536.84</v>
      </c>
      <c r="J17">
        <v>2275.23</v>
      </c>
      <c r="K17">
        <v>2261.61</v>
      </c>
    </row>
    <row r="18" spans="1:11" x14ac:dyDescent="0.3">
      <c r="A18" t="s">
        <v>42</v>
      </c>
      <c r="B18" s="81">
        <v>45965</v>
      </c>
      <c r="C18" t="s">
        <v>28</v>
      </c>
      <c r="D18" t="s">
        <v>33</v>
      </c>
      <c r="E18" t="s">
        <v>22</v>
      </c>
      <c r="F18">
        <v>2</v>
      </c>
      <c r="G18">
        <v>434.7</v>
      </c>
      <c r="H18">
        <v>0.15</v>
      </c>
      <c r="I18">
        <v>738.99</v>
      </c>
      <c r="J18">
        <v>523.37</v>
      </c>
      <c r="K18">
        <v>215.61</v>
      </c>
    </row>
    <row r="19" spans="1:11" x14ac:dyDescent="0.3">
      <c r="A19" t="s">
        <v>43</v>
      </c>
      <c r="B19" s="81">
        <v>45957</v>
      </c>
      <c r="C19" t="s">
        <v>28</v>
      </c>
      <c r="D19" t="s">
        <v>13</v>
      </c>
      <c r="E19" t="s">
        <v>14</v>
      </c>
      <c r="F19">
        <v>5</v>
      </c>
      <c r="G19">
        <v>361.92</v>
      </c>
      <c r="H19">
        <v>0.15</v>
      </c>
      <c r="I19">
        <v>1538.17</v>
      </c>
      <c r="J19">
        <v>806.8</v>
      </c>
      <c r="K19">
        <v>731.36</v>
      </c>
    </row>
    <row r="20" spans="1:11" x14ac:dyDescent="0.3">
      <c r="A20" t="s">
        <v>44</v>
      </c>
      <c r="B20" s="81">
        <v>45819</v>
      </c>
      <c r="C20" t="s">
        <v>12</v>
      </c>
      <c r="D20" t="s">
        <v>17</v>
      </c>
      <c r="E20" t="s">
        <v>22</v>
      </c>
      <c r="F20">
        <v>1</v>
      </c>
      <c r="G20">
        <v>179.61</v>
      </c>
      <c r="H20">
        <v>0.15</v>
      </c>
      <c r="I20">
        <v>152.66999999999999</v>
      </c>
      <c r="J20">
        <v>99.74</v>
      </c>
      <c r="K20">
        <v>52.93</v>
      </c>
    </row>
    <row r="21" spans="1:11" x14ac:dyDescent="0.3">
      <c r="A21" t="s">
        <v>45</v>
      </c>
      <c r="B21" s="81">
        <v>45888</v>
      </c>
      <c r="C21" t="s">
        <v>21</v>
      </c>
      <c r="D21" t="s">
        <v>33</v>
      </c>
      <c r="E21" t="s">
        <v>34</v>
      </c>
      <c r="F21">
        <v>10</v>
      </c>
      <c r="G21">
        <v>707.27</v>
      </c>
      <c r="H21">
        <v>0.15</v>
      </c>
      <c r="I21">
        <v>6011.83</v>
      </c>
      <c r="J21">
        <v>2776.18</v>
      </c>
      <c r="K21">
        <v>3235.65</v>
      </c>
    </row>
    <row r="22" spans="1:11" x14ac:dyDescent="0.3">
      <c r="A22" t="s">
        <v>46</v>
      </c>
      <c r="B22" s="81">
        <v>45811</v>
      </c>
      <c r="C22" t="s">
        <v>12</v>
      </c>
      <c r="D22" t="s">
        <v>13</v>
      </c>
      <c r="E22" t="s">
        <v>34</v>
      </c>
      <c r="F22">
        <v>6</v>
      </c>
      <c r="G22">
        <v>257.72000000000003</v>
      </c>
      <c r="H22">
        <v>0</v>
      </c>
      <c r="I22">
        <v>1546.31</v>
      </c>
      <c r="J22">
        <v>1170.32</v>
      </c>
      <c r="K22">
        <v>375.99</v>
      </c>
    </row>
    <row r="23" spans="1:11" x14ac:dyDescent="0.3">
      <c r="A23" t="s">
        <v>47</v>
      </c>
      <c r="B23" s="81">
        <v>45924</v>
      </c>
      <c r="C23" t="s">
        <v>21</v>
      </c>
      <c r="D23" t="s">
        <v>17</v>
      </c>
      <c r="E23" t="s">
        <v>31</v>
      </c>
      <c r="F23">
        <v>6</v>
      </c>
      <c r="G23">
        <v>820.33</v>
      </c>
      <c r="H23">
        <v>0.2</v>
      </c>
      <c r="I23">
        <v>3937.56</v>
      </c>
      <c r="J23">
        <v>2578.2600000000002</v>
      </c>
      <c r="K23">
        <v>1359.31</v>
      </c>
    </row>
    <row r="24" spans="1:11" x14ac:dyDescent="0.3">
      <c r="A24" t="s">
        <v>48</v>
      </c>
      <c r="B24" s="81">
        <v>45968</v>
      </c>
      <c r="C24" t="s">
        <v>21</v>
      </c>
      <c r="D24" t="s">
        <v>17</v>
      </c>
      <c r="E24" t="s">
        <v>14</v>
      </c>
      <c r="F24">
        <v>9</v>
      </c>
      <c r="G24">
        <v>160.77000000000001</v>
      </c>
      <c r="H24">
        <v>0</v>
      </c>
      <c r="I24">
        <v>1446.97</v>
      </c>
      <c r="J24">
        <v>793.72</v>
      </c>
      <c r="K24">
        <v>653.25</v>
      </c>
    </row>
    <row r="25" spans="1:11" x14ac:dyDescent="0.3">
      <c r="A25" t="s">
        <v>49</v>
      </c>
      <c r="B25" s="81">
        <v>45702</v>
      </c>
      <c r="C25" t="s">
        <v>12</v>
      </c>
      <c r="D25" t="s">
        <v>13</v>
      </c>
      <c r="E25" t="s">
        <v>18</v>
      </c>
      <c r="F25">
        <v>2</v>
      </c>
      <c r="G25">
        <v>335.03</v>
      </c>
      <c r="H25">
        <v>0</v>
      </c>
      <c r="I25">
        <v>670.06</v>
      </c>
      <c r="J25">
        <v>336.59</v>
      </c>
      <c r="K25">
        <v>333.48</v>
      </c>
    </row>
    <row r="26" spans="1:11" x14ac:dyDescent="0.3">
      <c r="A26" t="s">
        <v>50</v>
      </c>
      <c r="B26" s="81">
        <v>45669</v>
      </c>
      <c r="C26" t="s">
        <v>21</v>
      </c>
      <c r="D26" t="s">
        <v>17</v>
      </c>
      <c r="E26" t="s">
        <v>18</v>
      </c>
      <c r="F26">
        <v>3</v>
      </c>
      <c r="G26">
        <v>392.94</v>
      </c>
      <c r="H26">
        <v>0</v>
      </c>
      <c r="I26">
        <v>1178.83</v>
      </c>
      <c r="J26">
        <v>667.19</v>
      </c>
      <c r="K26">
        <v>511.64</v>
      </c>
    </row>
    <row r="27" spans="1:11" x14ac:dyDescent="0.3">
      <c r="A27" t="s">
        <v>51</v>
      </c>
      <c r="B27" s="81">
        <v>45881</v>
      </c>
      <c r="C27" t="s">
        <v>28</v>
      </c>
      <c r="D27" t="s">
        <v>17</v>
      </c>
      <c r="E27" t="s">
        <v>14</v>
      </c>
      <c r="F27">
        <v>5</v>
      </c>
      <c r="G27">
        <v>228.82</v>
      </c>
      <c r="H27">
        <v>0</v>
      </c>
      <c r="I27">
        <v>1144.0899999999999</v>
      </c>
      <c r="J27">
        <v>847.46</v>
      </c>
      <c r="K27">
        <v>296.64</v>
      </c>
    </row>
    <row r="28" spans="1:11" x14ac:dyDescent="0.3">
      <c r="A28" t="s">
        <v>52</v>
      </c>
      <c r="B28" s="81">
        <v>45869</v>
      </c>
      <c r="C28" t="s">
        <v>12</v>
      </c>
      <c r="D28" t="s">
        <v>33</v>
      </c>
      <c r="E28" t="s">
        <v>18</v>
      </c>
      <c r="F28">
        <v>11</v>
      </c>
      <c r="G28">
        <v>181.06</v>
      </c>
      <c r="H28">
        <v>0.15</v>
      </c>
      <c r="I28">
        <v>1692.95</v>
      </c>
      <c r="J28">
        <v>1272.08</v>
      </c>
      <c r="K28">
        <v>420.86</v>
      </c>
    </row>
    <row r="29" spans="1:11" x14ac:dyDescent="0.3">
      <c r="A29" t="s">
        <v>53</v>
      </c>
      <c r="B29" s="81">
        <v>46005</v>
      </c>
      <c r="C29" t="s">
        <v>16</v>
      </c>
      <c r="D29" t="s">
        <v>13</v>
      </c>
      <c r="E29" t="s">
        <v>14</v>
      </c>
      <c r="F29">
        <v>4</v>
      </c>
      <c r="G29">
        <v>628.84</v>
      </c>
      <c r="H29">
        <v>0</v>
      </c>
      <c r="I29">
        <v>2515.34</v>
      </c>
      <c r="J29">
        <v>1416.97</v>
      </c>
      <c r="K29">
        <v>1098.3699999999999</v>
      </c>
    </row>
    <row r="30" spans="1:11" x14ac:dyDescent="0.3">
      <c r="A30" t="s">
        <v>54</v>
      </c>
      <c r="B30" s="81">
        <v>45780</v>
      </c>
      <c r="C30" t="s">
        <v>21</v>
      </c>
      <c r="D30" t="s">
        <v>17</v>
      </c>
      <c r="E30" t="s">
        <v>22</v>
      </c>
      <c r="F30">
        <v>2</v>
      </c>
      <c r="G30">
        <v>476.1</v>
      </c>
      <c r="H30">
        <v>0.05</v>
      </c>
      <c r="I30">
        <v>904.59</v>
      </c>
      <c r="J30">
        <v>507.44</v>
      </c>
      <c r="K30">
        <v>397.14</v>
      </c>
    </row>
    <row r="31" spans="1:11" x14ac:dyDescent="0.3">
      <c r="A31" t="s">
        <v>55</v>
      </c>
      <c r="B31" s="81">
        <v>45842</v>
      </c>
      <c r="C31" t="s">
        <v>12</v>
      </c>
      <c r="D31" t="s">
        <v>13</v>
      </c>
      <c r="E31" t="s">
        <v>22</v>
      </c>
      <c r="F31">
        <v>2</v>
      </c>
      <c r="G31">
        <v>349.86</v>
      </c>
      <c r="H31">
        <v>0</v>
      </c>
      <c r="I31">
        <v>699.73</v>
      </c>
      <c r="J31">
        <v>539.87</v>
      </c>
      <c r="K31">
        <v>159.85</v>
      </c>
    </row>
    <row r="32" spans="1:11" x14ac:dyDescent="0.3">
      <c r="A32" t="s">
        <v>56</v>
      </c>
      <c r="B32" s="81">
        <v>45842</v>
      </c>
      <c r="C32" t="s">
        <v>12</v>
      </c>
      <c r="D32" t="s">
        <v>13</v>
      </c>
      <c r="E32" t="s">
        <v>34</v>
      </c>
      <c r="F32">
        <v>5</v>
      </c>
      <c r="G32">
        <v>128.22</v>
      </c>
      <c r="H32">
        <v>0.15</v>
      </c>
      <c r="I32">
        <v>544.95000000000005</v>
      </c>
      <c r="J32">
        <v>290.51</v>
      </c>
      <c r="K32">
        <v>254.44</v>
      </c>
    </row>
    <row r="33" spans="1:11" x14ac:dyDescent="0.3">
      <c r="A33" t="s">
        <v>57</v>
      </c>
      <c r="B33" s="81">
        <v>45984</v>
      </c>
      <c r="C33" t="s">
        <v>28</v>
      </c>
      <c r="D33" t="s">
        <v>33</v>
      </c>
      <c r="E33" t="s">
        <v>18</v>
      </c>
      <c r="F33">
        <v>7</v>
      </c>
      <c r="G33">
        <v>353.52</v>
      </c>
      <c r="H33">
        <v>0.1</v>
      </c>
      <c r="I33">
        <v>2227.19</v>
      </c>
      <c r="J33">
        <v>1466.53</v>
      </c>
      <c r="K33">
        <v>760.66</v>
      </c>
    </row>
    <row r="34" spans="1:11" x14ac:dyDescent="0.3">
      <c r="A34" t="s">
        <v>58</v>
      </c>
      <c r="B34" s="81">
        <v>45968</v>
      </c>
      <c r="C34" t="s">
        <v>16</v>
      </c>
      <c r="D34" t="s">
        <v>33</v>
      </c>
      <c r="E34" t="s">
        <v>29</v>
      </c>
      <c r="F34">
        <v>11</v>
      </c>
      <c r="G34">
        <v>229.33</v>
      </c>
      <c r="H34">
        <v>0</v>
      </c>
      <c r="I34">
        <v>2522.6799999999998</v>
      </c>
      <c r="J34">
        <v>1789.7</v>
      </c>
      <c r="K34">
        <v>732.98</v>
      </c>
    </row>
    <row r="35" spans="1:11" x14ac:dyDescent="0.3">
      <c r="A35" t="s">
        <v>59</v>
      </c>
      <c r="B35" s="81">
        <v>45731</v>
      </c>
      <c r="C35" t="s">
        <v>16</v>
      </c>
      <c r="D35" t="s">
        <v>13</v>
      </c>
      <c r="E35" t="s">
        <v>24</v>
      </c>
      <c r="F35">
        <v>8</v>
      </c>
      <c r="G35">
        <v>144.84</v>
      </c>
      <c r="H35">
        <v>0</v>
      </c>
      <c r="I35">
        <v>1158.71</v>
      </c>
      <c r="J35">
        <v>631.80999999999995</v>
      </c>
      <c r="K35">
        <v>526.9</v>
      </c>
    </row>
    <row r="36" spans="1:11" x14ac:dyDescent="0.3">
      <c r="A36" t="s">
        <v>60</v>
      </c>
      <c r="B36" s="81">
        <v>45673</v>
      </c>
      <c r="C36" t="s">
        <v>16</v>
      </c>
      <c r="D36" t="s">
        <v>17</v>
      </c>
      <c r="E36" t="s">
        <v>29</v>
      </c>
      <c r="F36">
        <v>3</v>
      </c>
      <c r="G36">
        <v>653.33000000000004</v>
      </c>
      <c r="H36">
        <v>0</v>
      </c>
      <c r="I36">
        <v>1959.99</v>
      </c>
      <c r="J36">
        <v>1008.83</v>
      </c>
      <c r="K36">
        <v>951.16</v>
      </c>
    </row>
    <row r="37" spans="1:11" x14ac:dyDescent="0.3">
      <c r="A37" t="s">
        <v>61</v>
      </c>
      <c r="B37" s="81">
        <v>45980</v>
      </c>
      <c r="C37" t="s">
        <v>28</v>
      </c>
      <c r="D37" t="s">
        <v>17</v>
      </c>
      <c r="E37" t="s">
        <v>18</v>
      </c>
      <c r="F37">
        <v>6</v>
      </c>
      <c r="G37">
        <v>542.5</v>
      </c>
      <c r="H37">
        <v>0</v>
      </c>
      <c r="I37">
        <v>3255.02</v>
      </c>
      <c r="J37">
        <v>2485.09</v>
      </c>
      <c r="K37">
        <v>769.93</v>
      </c>
    </row>
    <row r="38" spans="1:11" x14ac:dyDescent="0.3">
      <c r="A38" t="s">
        <v>62</v>
      </c>
      <c r="B38" s="81">
        <v>46000</v>
      </c>
      <c r="C38" t="s">
        <v>12</v>
      </c>
      <c r="D38" t="s">
        <v>13</v>
      </c>
      <c r="E38" t="s">
        <v>29</v>
      </c>
      <c r="F38">
        <v>8</v>
      </c>
      <c r="G38">
        <v>572.15</v>
      </c>
      <c r="H38">
        <v>0</v>
      </c>
      <c r="I38">
        <v>4577.22</v>
      </c>
      <c r="J38">
        <v>3318.01</v>
      </c>
      <c r="K38">
        <v>1259.2</v>
      </c>
    </row>
    <row r="39" spans="1:11" x14ac:dyDescent="0.3">
      <c r="A39" t="s">
        <v>63</v>
      </c>
      <c r="B39" s="81">
        <v>45739</v>
      </c>
      <c r="C39" t="s">
        <v>21</v>
      </c>
      <c r="D39" t="s">
        <v>17</v>
      </c>
      <c r="E39" t="s">
        <v>18</v>
      </c>
      <c r="F39">
        <v>2</v>
      </c>
      <c r="G39">
        <v>271.08999999999997</v>
      </c>
      <c r="H39">
        <v>0.05</v>
      </c>
      <c r="I39">
        <v>515.08000000000004</v>
      </c>
      <c r="J39">
        <v>345.15</v>
      </c>
      <c r="K39">
        <v>169.93</v>
      </c>
    </row>
    <row r="40" spans="1:11" x14ac:dyDescent="0.3">
      <c r="A40" t="s">
        <v>64</v>
      </c>
      <c r="B40" s="81">
        <v>45876</v>
      </c>
      <c r="C40" t="s">
        <v>12</v>
      </c>
      <c r="D40" t="s">
        <v>33</v>
      </c>
      <c r="E40" t="s">
        <v>26</v>
      </c>
      <c r="F40">
        <v>9</v>
      </c>
      <c r="G40">
        <v>97</v>
      </c>
      <c r="H40">
        <v>0.1</v>
      </c>
      <c r="I40">
        <v>785.67</v>
      </c>
      <c r="J40">
        <v>430.79</v>
      </c>
      <c r="K40">
        <v>354.88</v>
      </c>
    </row>
    <row r="41" spans="1:11" x14ac:dyDescent="0.3">
      <c r="A41" t="s">
        <v>65</v>
      </c>
      <c r="B41" s="81">
        <v>45836</v>
      </c>
      <c r="C41" t="s">
        <v>16</v>
      </c>
      <c r="D41" t="s">
        <v>13</v>
      </c>
      <c r="E41" t="s">
        <v>14</v>
      </c>
      <c r="F41">
        <v>6</v>
      </c>
      <c r="G41">
        <v>272.63</v>
      </c>
      <c r="H41">
        <v>0.05</v>
      </c>
      <c r="I41">
        <v>1554.01</v>
      </c>
      <c r="J41">
        <v>1088.8900000000001</v>
      </c>
      <c r="K41">
        <v>465.11</v>
      </c>
    </row>
    <row r="42" spans="1:11" x14ac:dyDescent="0.3">
      <c r="A42" t="s">
        <v>66</v>
      </c>
      <c r="B42" s="81">
        <v>45818</v>
      </c>
      <c r="C42" t="s">
        <v>21</v>
      </c>
      <c r="D42" t="s">
        <v>13</v>
      </c>
      <c r="E42" t="s">
        <v>26</v>
      </c>
      <c r="F42">
        <v>9</v>
      </c>
      <c r="G42">
        <v>681.86</v>
      </c>
      <c r="H42">
        <v>0.1</v>
      </c>
      <c r="I42">
        <v>5523.1</v>
      </c>
      <c r="J42">
        <v>4213.8500000000004</v>
      </c>
      <c r="K42">
        <v>1309.25</v>
      </c>
    </row>
    <row r="43" spans="1:11" x14ac:dyDescent="0.3">
      <c r="A43" t="s">
        <v>67</v>
      </c>
      <c r="B43" s="81">
        <v>45737</v>
      </c>
      <c r="C43" t="s">
        <v>16</v>
      </c>
      <c r="D43" t="s">
        <v>33</v>
      </c>
      <c r="E43" t="s">
        <v>24</v>
      </c>
      <c r="F43">
        <v>3</v>
      </c>
      <c r="G43">
        <v>117.41</v>
      </c>
      <c r="H43">
        <v>0</v>
      </c>
      <c r="I43">
        <v>352.22</v>
      </c>
      <c r="J43">
        <v>248.81</v>
      </c>
      <c r="K43">
        <v>103.41</v>
      </c>
    </row>
    <row r="44" spans="1:11" x14ac:dyDescent="0.3">
      <c r="A44" t="s">
        <v>68</v>
      </c>
      <c r="B44" s="81">
        <v>45822</v>
      </c>
      <c r="C44" t="s">
        <v>21</v>
      </c>
      <c r="D44" t="s">
        <v>33</v>
      </c>
      <c r="E44" t="s">
        <v>29</v>
      </c>
      <c r="F44">
        <v>10</v>
      </c>
      <c r="G44">
        <v>513.23</v>
      </c>
      <c r="H44">
        <v>0.1</v>
      </c>
      <c r="I44">
        <v>4619.0600000000004</v>
      </c>
      <c r="J44">
        <v>3196.82</v>
      </c>
      <c r="K44">
        <v>1422.24</v>
      </c>
    </row>
    <row r="45" spans="1:11" x14ac:dyDescent="0.3">
      <c r="A45" t="s">
        <v>69</v>
      </c>
      <c r="B45" s="81">
        <v>45805</v>
      </c>
      <c r="C45" t="s">
        <v>21</v>
      </c>
      <c r="D45" t="s">
        <v>17</v>
      </c>
      <c r="E45" t="s">
        <v>26</v>
      </c>
      <c r="F45">
        <v>4</v>
      </c>
      <c r="G45">
        <v>389.33</v>
      </c>
      <c r="H45">
        <v>0.1</v>
      </c>
      <c r="I45">
        <v>1401.57</v>
      </c>
      <c r="J45">
        <v>1074.22</v>
      </c>
      <c r="K45">
        <v>327.35000000000002</v>
      </c>
    </row>
    <row r="46" spans="1:11" x14ac:dyDescent="0.3">
      <c r="A46" t="s">
        <v>70</v>
      </c>
      <c r="B46" s="81">
        <v>45948</v>
      </c>
      <c r="C46" t="s">
        <v>16</v>
      </c>
      <c r="D46" t="s">
        <v>33</v>
      </c>
      <c r="E46" t="s">
        <v>29</v>
      </c>
      <c r="F46">
        <v>10</v>
      </c>
      <c r="G46">
        <v>161</v>
      </c>
      <c r="H46">
        <v>0.1</v>
      </c>
      <c r="I46">
        <v>1449.04</v>
      </c>
      <c r="J46">
        <v>720.47</v>
      </c>
      <c r="K46">
        <v>728.57</v>
      </c>
    </row>
    <row r="47" spans="1:11" x14ac:dyDescent="0.3">
      <c r="A47" t="s">
        <v>71</v>
      </c>
      <c r="B47" s="81">
        <v>45762</v>
      </c>
      <c r="C47" t="s">
        <v>28</v>
      </c>
      <c r="D47" t="s">
        <v>13</v>
      </c>
      <c r="E47" t="s">
        <v>31</v>
      </c>
      <c r="F47">
        <v>3</v>
      </c>
      <c r="G47">
        <v>838.89</v>
      </c>
      <c r="H47">
        <v>0.05</v>
      </c>
      <c r="I47">
        <v>2390.85</v>
      </c>
      <c r="J47">
        <v>1687.93</v>
      </c>
      <c r="K47">
        <v>702.92</v>
      </c>
    </row>
    <row r="48" spans="1:11" x14ac:dyDescent="0.3">
      <c r="A48" t="s">
        <v>72</v>
      </c>
      <c r="B48" s="81">
        <v>45662</v>
      </c>
      <c r="C48" t="s">
        <v>16</v>
      </c>
      <c r="D48" t="s">
        <v>17</v>
      </c>
      <c r="E48" t="s">
        <v>34</v>
      </c>
      <c r="F48">
        <v>1</v>
      </c>
      <c r="G48">
        <v>259.42</v>
      </c>
      <c r="H48">
        <v>0.15</v>
      </c>
      <c r="I48">
        <v>220.5</v>
      </c>
      <c r="J48">
        <v>175.68</v>
      </c>
      <c r="K48">
        <v>44.82</v>
      </c>
    </row>
    <row r="49" spans="1:11" x14ac:dyDescent="0.3">
      <c r="A49" t="s">
        <v>73</v>
      </c>
      <c r="B49" s="81">
        <v>45707</v>
      </c>
      <c r="C49" t="s">
        <v>16</v>
      </c>
      <c r="D49" t="s">
        <v>13</v>
      </c>
      <c r="E49" t="s">
        <v>24</v>
      </c>
      <c r="F49">
        <v>8</v>
      </c>
      <c r="G49">
        <v>95.79</v>
      </c>
      <c r="H49">
        <v>0.05</v>
      </c>
      <c r="I49">
        <v>728.03</v>
      </c>
      <c r="J49">
        <v>357.84</v>
      </c>
      <c r="K49">
        <v>370.19</v>
      </c>
    </row>
    <row r="50" spans="1:11" x14ac:dyDescent="0.3">
      <c r="A50" t="s">
        <v>74</v>
      </c>
      <c r="B50" s="81">
        <v>45658</v>
      </c>
      <c r="C50" t="s">
        <v>16</v>
      </c>
      <c r="D50" t="s">
        <v>13</v>
      </c>
      <c r="E50" t="s">
        <v>29</v>
      </c>
      <c r="F50">
        <v>3</v>
      </c>
      <c r="G50">
        <v>430.7</v>
      </c>
      <c r="H50">
        <v>0</v>
      </c>
      <c r="I50">
        <v>1292.0899999999999</v>
      </c>
      <c r="J50">
        <v>1033.31</v>
      </c>
      <c r="K50">
        <v>258.77999999999997</v>
      </c>
    </row>
    <row r="51" spans="1:11" x14ac:dyDescent="0.3">
      <c r="A51" t="s">
        <v>75</v>
      </c>
      <c r="B51" s="81">
        <v>45831</v>
      </c>
      <c r="C51" t="s">
        <v>16</v>
      </c>
      <c r="D51" t="s">
        <v>17</v>
      </c>
      <c r="E51" t="s">
        <v>24</v>
      </c>
      <c r="F51">
        <v>8</v>
      </c>
      <c r="G51">
        <v>804.18</v>
      </c>
      <c r="H51">
        <v>0.15</v>
      </c>
      <c r="I51">
        <v>5468.45</v>
      </c>
      <c r="J51">
        <v>3627.14</v>
      </c>
      <c r="K51">
        <v>1841.31</v>
      </c>
    </row>
    <row r="52" spans="1:11" x14ac:dyDescent="0.3">
      <c r="A52" t="s">
        <v>76</v>
      </c>
      <c r="B52" s="81">
        <v>45980</v>
      </c>
      <c r="C52" t="s">
        <v>12</v>
      </c>
      <c r="D52" t="s">
        <v>33</v>
      </c>
      <c r="E52" t="s">
        <v>24</v>
      </c>
      <c r="F52">
        <v>8</v>
      </c>
      <c r="G52">
        <v>111.72</v>
      </c>
      <c r="H52">
        <v>0.1</v>
      </c>
      <c r="I52">
        <v>804.42</v>
      </c>
      <c r="J52">
        <v>612.9</v>
      </c>
      <c r="K52">
        <v>191.52</v>
      </c>
    </row>
    <row r="53" spans="1:11" x14ac:dyDescent="0.3">
      <c r="A53" t="s">
        <v>77</v>
      </c>
      <c r="B53" s="81">
        <v>45729</v>
      </c>
      <c r="C53" t="s">
        <v>21</v>
      </c>
      <c r="D53" t="s">
        <v>17</v>
      </c>
      <c r="E53" t="s">
        <v>26</v>
      </c>
      <c r="F53">
        <v>11</v>
      </c>
      <c r="G53">
        <v>225.49</v>
      </c>
      <c r="H53">
        <v>0.1</v>
      </c>
      <c r="I53">
        <v>2232.31</v>
      </c>
      <c r="J53">
        <v>1296.9000000000001</v>
      </c>
      <c r="K53">
        <v>935.4</v>
      </c>
    </row>
    <row r="54" spans="1:11" x14ac:dyDescent="0.3">
      <c r="A54" t="s">
        <v>78</v>
      </c>
      <c r="B54" s="81">
        <v>45942</v>
      </c>
      <c r="C54" t="s">
        <v>16</v>
      </c>
      <c r="D54" t="s">
        <v>17</v>
      </c>
      <c r="E54" t="s">
        <v>14</v>
      </c>
      <c r="F54">
        <v>5</v>
      </c>
      <c r="G54">
        <v>388.47</v>
      </c>
      <c r="H54">
        <v>0.05</v>
      </c>
      <c r="I54">
        <v>1845.24</v>
      </c>
      <c r="J54">
        <v>1172.94</v>
      </c>
      <c r="K54">
        <v>672.3</v>
      </c>
    </row>
    <row r="55" spans="1:11" x14ac:dyDescent="0.3">
      <c r="A55" t="s">
        <v>79</v>
      </c>
      <c r="B55" s="81">
        <v>45686</v>
      </c>
      <c r="C55" t="s">
        <v>28</v>
      </c>
      <c r="D55" t="s">
        <v>13</v>
      </c>
      <c r="E55" t="s">
        <v>26</v>
      </c>
      <c r="F55">
        <v>1</v>
      </c>
      <c r="G55">
        <v>479.01</v>
      </c>
      <c r="H55">
        <v>0</v>
      </c>
      <c r="I55">
        <v>479.01</v>
      </c>
      <c r="J55">
        <v>348.5</v>
      </c>
      <c r="K55">
        <v>130.51</v>
      </c>
    </row>
    <row r="56" spans="1:11" x14ac:dyDescent="0.3">
      <c r="A56" t="s">
        <v>80</v>
      </c>
      <c r="B56" s="81">
        <v>45679</v>
      </c>
      <c r="C56" t="s">
        <v>21</v>
      </c>
      <c r="D56" t="s">
        <v>17</v>
      </c>
      <c r="E56" t="s">
        <v>26</v>
      </c>
      <c r="F56">
        <v>2</v>
      </c>
      <c r="G56">
        <v>701.35</v>
      </c>
      <c r="H56">
        <v>0.05</v>
      </c>
      <c r="I56">
        <v>1332.56</v>
      </c>
      <c r="J56">
        <v>808.94</v>
      </c>
      <c r="K56">
        <v>523.62</v>
      </c>
    </row>
    <row r="57" spans="1:11" x14ac:dyDescent="0.3">
      <c r="A57" t="s">
        <v>81</v>
      </c>
      <c r="B57" s="81">
        <v>45884</v>
      </c>
      <c r="C57" t="s">
        <v>21</v>
      </c>
      <c r="D57" t="s">
        <v>33</v>
      </c>
      <c r="E57" t="s">
        <v>29</v>
      </c>
      <c r="F57">
        <v>10</v>
      </c>
      <c r="G57">
        <v>112.29</v>
      </c>
      <c r="H57">
        <v>0.15</v>
      </c>
      <c r="I57">
        <v>954.43</v>
      </c>
      <c r="J57">
        <v>734.79</v>
      </c>
      <c r="K57">
        <v>219.64</v>
      </c>
    </row>
    <row r="58" spans="1:11" x14ac:dyDescent="0.3">
      <c r="A58" t="s">
        <v>82</v>
      </c>
      <c r="B58" s="81">
        <v>45658</v>
      </c>
      <c r="C58" t="s">
        <v>21</v>
      </c>
      <c r="D58" t="s">
        <v>33</v>
      </c>
      <c r="E58" t="s">
        <v>24</v>
      </c>
      <c r="F58">
        <v>2</v>
      </c>
      <c r="G58">
        <v>670.47</v>
      </c>
      <c r="H58">
        <v>0</v>
      </c>
      <c r="I58">
        <v>1340.94</v>
      </c>
      <c r="J58">
        <v>843.98</v>
      </c>
      <c r="K58">
        <v>496.97</v>
      </c>
    </row>
    <row r="59" spans="1:11" x14ac:dyDescent="0.3">
      <c r="A59" t="s">
        <v>83</v>
      </c>
      <c r="B59" s="81">
        <v>45735</v>
      </c>
      <c r="C59" t="s">
        <v>16</v>
      </c>
      <c r="D59" t="s">
        <v>33</v>
      </c>
      <c r="E59" t="s">
        <v>31</v>
      </c>
      <c r="F59">
        <v>2</v>
      </c>
      <c r="G59">
        <v>69.3</v>
      </c>
      <c r="H59">
        <v>0.2</v>
      </c>
      <c r="I59">
        <v>110.88</v>
      </c>
      <c r="J59">
        <v>66.28</v>
      </c>
      <c r="K59">
        <v>44.6</v>
      </c>
    </row>
    <row r="60" spans="1:11" x14ac:dyDescent="0.3">
      <c r="A60" t="s">
        <v>84</v>
      </c>
      <c r="B60" s="81">
        <v>45865</v>
      </c>
      <c r="C60" t="s">
        <v>12</v>
      </c>
      <c r="D60" t="s">
        <v>33</v>
      </c>
      <c r="E60" t="s">
        <v>18</v>
      </c>
      <c r="F60">
        <v>8</v>
      </c>
      <c r="G60">
        <v>664.63</v>
      </c>
      <c r="H60">
        <v>0.15</v>
      </c>
      <c r="I60">
        <v>4519.46</v>
      </c>
      <c r="J60">
        <v>3139.28</v>
      </c>
      <c r="K60">
        <v>1380.17</v>
      </c>
    </row>
    <row r="61" spans="1:11" x14ac:dyDescent="0.3">
      <c r="A61" t="s">
        <v>85</v>
      </c>
      <c r="B61" s="81">
        <v>46000</v>
      </c>
      <c r="C61" t="s">
        <v>28</v>
      </c>
      <c r="D61" t="s">
        <v>33</v>
      </c>
      <c r="E61" t="s">
        <v>22</v>
      </c>
      <c r="F61">
        <v>2</v>
      </c>
      <c r="G61">
        <v>383.32</v>
      </c>
      <c r="H61">
        <v>0.2</v>
      </c>
      <c r="I61">
        <v>613.32000000000005</v>
      </c>
      <c r="J61">
        <v>360.33</v>
      </c>
      <c r="K61">
        <v>252.99</v>
      </c>
    </row>
    <row r="62" spans="1:11" x14ac:dyDescent="0.3">
      <c r="A62" t="s">
        <v>86</v>
      </c>
      <c r="B62" s="81">
        <v>45864</v>
      </c>
      <c r="C62" t="s">
        <v>21</v>
      </c>
      <c r="D62" t="s">
        <v>17</v>
      </c>
      <c r="E62" t="s">
        <v>34</v>
      </c>
      <c r="F62">
        <v>9</v>
      </c>
      <c r="G62">
        <v>18.77</v>
      </c>
      <c r="H62">
        <v>0.05</v>
      </c>
      <c r="I62">
        <v>160.49</v>
      </c>
      <c r="J62">
        <v>87.72</v>
      </c>
      <c r="K62">
        <v>72.77</v>
      </c>
    </row>
    <row r="63" spans="1:11" x14ac:dyDescent="0.3">
      <c r="A63" t="s">
        <v>87</v>
      </c>
      <c r="B63" s="81">
        <v>45734</v>
      </c>
      <c r="C63" t="s">
        <v>12</v>
      </c>
      <c r="D63" t="s">
        <v>13</v>
      </c>
      <c r="E63" t="s">
        <v>26</v>
      </c>
      <c r="F63">
        <v>6</v>
      </c>
      <c r="G63">
        <v>19.489999999999998</v>
      </c>
      <c r="H63">
        <v>0.05</v>
      </c>
      <c r="I63">
        <v>111.09</v>
      </c>
      <c r="J63">
        <v>60.32</v>
      </c>
      <c r="K63">
        <v>50.77</v>
      </c>
    </row>
    <row r="64" spans="1:11" x14ac:dyDescent="0.3">
      <c r="A64" t="s">
        <v>88</v>
      </c>
      <c r="B64" s="81">
        <v>45813</v>
      </c>
      <c r="C64" t="s">
        <v>21</v>
      </c>
      <c r="D64" t="s">
        <v>13</v>
      </c>
      <c r="E64" t="s">
        <v>31</v>
      </c>
      <c r="F64">
        <v>8</v>
      </c>
      <c r="G64">
        <v>318.08</v>
      </c>
      <c r="H64">
        <v>0.1</v>
      </c>
      <c r="I64">
        <v>2290.16</v>
      </c>
      <c r="J64">
        <v>1704.05</v>
      </c>
      <c r="K64">
        <v>586.1</v>
      </c>
    </row>
    <row r="65" spans="1:11" x14ac:dyDescent="0.3">
      <c r="A65" t="s">
        <v>89</v>
      </c>
      <c r="B65" s="81">
        <v>45989</v>
      </c>
      <c r="C65" t="s">
        <v>12</v>
      </c>
      <c r="D65" t="s">
        <v>13</v>
      </c>
      <c r="E65" t="s">
        <v>14</v>
      </c>
      <c r="F65">
        <v>6</v>
      </c>
      <c r="G65">
        <v>458.37</v>
      </c>
      <c r="H65">
        <v>0.1</v>
      </c>
      <c r="I65">
        <v>2475.21</v>
      </c>
      <c r="J65">
        <v>1481.02</v>
      </c>
      <c r="K65">
        <v>994.19</v>
      </c>
    </row>
    <row r="66" spans="1:11" x14ac:dyDescent="0.3">
      <c r="A66" t="s">
        <v>90</v>
      </c>
      <c r="B66" s="81">
        <v>45720</v>
      </c>
      <c r="C66" t="s">
        <v>16</v>
      </c>
      <c r="D66" t="s">
        <v>13</v>
      </c>
      <c r="E66" t="s">
        <v>22</v>
      </c>
      <c r="F66">
        <v>11</v>
      </c>
      <c r="G66">
        <v>310.76</v>
      </c>
      <c r="H66">
        <v>0.1</v>
      </c>
      <c r="I66">
        <v>3076.49</v>
      </c>
      <c r="J66">
        <v>1386.18</v>
      </c>
      <c r="K66">
        <v>1690.31</v>
      </c>
    </row>
    <row r="67" spans="1:11" x14ac:dyDescent="0.3">
      <c r="A67" t="s">
        <v>91</v>
      </c>
      <c r="B67" s="81">
        <v>45754</v>
      </c>
      <c r="C67" t="s">
        <v>16</v>
      </c>
      <c r="D67" t="s">
        <v>13</v>
      </c>
      <c r="E67" t="s">
        <v>18</v>
      </c>
      <c r="F67">
        <v>9</v>
      </c>
      <c r="G67">
        <v>443.76</v>
      </c>
      <c r="H67">
        <v>0.05</v>
      </c>
      <c r="I67">
        <v>3794.11</v>
      </c>
      <c r="J67">
        <v>2206.98</v>
      </c>
      <c r="K67">
        <v>1587.13</v>
      </c>
    </row>
    <row r="68" spans="1:11" x14ac:dyDescent="0.3">
      <c r="A68" t="s">
        <v>92</v>
      </c>
      <c r="B68" s="81">
        <v>45962</v>
      </c>
      <c r="C68" t="s">
        <v>28</v>
      </c>
      <c r="D68" t="s">
        <v>13</v>
      </c>
      <c r="E68" t="s">
        <v>14</v>
      </c>
      <c r="F68">
        <v>7</v>
      </c>
      <c r="G68">
        <v>773.98</v>
      </c>
      <c r="H68">
        <v>0</v>
      </c>
      <c r="I68">
        <v>5417.89</v>
      </c>
      <c r="J68">
        <v>3100.52</v>
      </c>
      <c r="K68">
        <v>2317.36</v>
      </c>
    </row>
    <row r="69" spans="1:11" x14ac:dyDescent="0.3">
      <c r="A69" t="s">
        <v>93</v>
      </c>
      <c r="B69" s="81">
        <v>45699</v>
      </c>
      <c r="C69" t="s">
        <v>21</v>
      </c>
      <c r="D69" t="s">
        <v>13</v>
      </c>
      <c r="E69" t="s">
        <v>29</v>
      </c>
      <c r="F69">
        <v>5</v>
      </c>
      <c r="G69">
        <v>892.75</v>
      </c>
      <c r="H69">
        <v>0</v>
      </c>
      <c r="I69">
        <v>4463.75</v>
      </c>
      <c r="J69">
        <v>2309.2199999999998</v>
      </c>
      <c r="K69">
        <v>2154.5300000000002</v>
      </c>
    </row>
    <row r="70" spans="1:11" x14ac:dyDescent="0.3">
      <c r="A70" t="s">
        <v>94</v>
      </c>
      <c r="B70" s="81">
        <v>46011</v>
      </c>
      <c r="C70" t="s">
        <v>12</v>
      </c>
      <c r="D70" t="s">
        <v>17</v>
      </c>
      <c r="E70" t="s">
        <v>34</v>
      </c>
      <c r="F70">
        <v>10</v>
      </c>
      <c r="G70">
        <v>110.22</v>
      </c>
      <c r="H70">
        <v>0.1</v>
      </c>
      <c r="I70">
        <v>991.96</v>
      </c>
      <c r="J70">
        <v>766.27</v>
      </c>
      <c r="K70">
        <v>225.69</v>
      </c>
    </row>
    <row r="71" spans="1:11" x14ac:dyDescent="0.3">
      <c r="A71" t="s">
        <v>95</v>
      </c>
      <c r="B71" s="81">
        <v>45735</v>
      </c>
      <c r="C71" t="s">
        <v>21</v>
      </c>
      <c r="D71" t="s">
        <v>33</v>
      </c>
      <c r="E71" t="s">
        <v>24</v>
      </c>
      <c r="F71">
        <v>3</v>
      </c>
      <c r="G71">
        <v>865.29</v>
      </c>
      <c r="H71">
        <v>0</v>
      </c>
      <c r="I71">
        <v>2595.87</v>
      </c>
      <c r="J71">
        <v>2000.39</v>
      </c>
      <c r="K71">
        <v>595.47</v>
      </c>
    </row>
    <row r="72" spans="1:11" x14ac:dyDescent="0.3">
      <c r="A72" t="s">
        <v>96</v>
      </c>
      <c r="B72" s="81">
        <v>45838</v>
      </c>
      <c r="C72" t="s">
        <v>28</v>
      </c>
      <c r="D72" t="s">
        <v>17</v>
      </c>
      <c r="E72" t="s">
        <v>26</v>
      </c>
      <c r="F72">
        <v>9</v>
      </c>
      <c r="G72">
        <v>550.5</v>
      </c>
      <c r="H72">
        <v>0.05</v>
      </c>
      <c r="I72">
        <v>4706.8100000000004</v>
      </c>
      <c r="J72">
        <v>2734.44</v>
      </c>
      <c r="K72">
        <v>1972.36</v>
      </c>
    </row>
    <row r="73" spans="1:11" x14ac:dyDescent="0.3">
      <c r="A73" t="s">
        <v>97</v>
      </c>
      <c r="B73" s="81">
        <v>45987</v>
      </c>
      <c r="C73" t="s">
        <v>21</v>
      </c>
      <c r="D73" t="s">
        <v>13</v>
      </c>
      <c r="E73" t="s">
        <v>14</v>
      </c>
      <c r="F73">
        <v>5</v>
      </c>
      <c r="G73">
        <v>77.319999999999993</v>
      </c>
      <c r="H73">
        <v>0.15</v>
      </c>
      <c r="I73">
        <v>328.6</v>
      </c>
      <c r="J73">
        <v>205.25</v>
      </c>
      <c r="K73">
        <v>123.35</v>
      </c>
    </row>
    <row r="74" spans="1:11" x14ac:dyDescent="0.3">
      <c r="A74" t="s">
        <v>98</v>
      </c>
      <c r="B74" s="81">
        <v>45777</v>
      </c>
      <c r="C74" t="s">
        <v>28</v>
      </c>
      <c r="D74" t="s">
        <v>17</v>
      </c>
      <c r="E74" t="s">
        <v>29</v>
      </c>
      <c r="F74">
        <v>6</v>
      </c>
      <c r="G74">
        <v>843.38</v>
      </c>
      <c r="H74">
        <v>0.15</v>
      </c>
      <c r="I74">
        <v>4301.25</v>
      </c>
      <c r="J74">
        <v>2085</v>
      </c>
      <c r="K74">
        <v>2216.25</v>
      </c>
    </row>
    <row r="75" spans="1:11" x14ac:dyDescent="0.3">
      <c r="A75" t="s">
        <v>99</v>
      </c>
      <c r="B75" s="81">
        <v>45674</v>
      </c>
      <c r="C75" t="s">
        <v>16</v>
      </c>
      <c r="D75" t="s">
        <v>13</v>
      </c>
      <c r="E75" t="s">
        <v>14</v>
      </c>
      <c r="F75">
        <v>4</v>
      </c>
      <c r="G75">
        <v>357.11</v>
      </c>
      <c r="H75">
        <v>0</v>
      </c>
      <c r="I75">
        <v>1428.44</v>
      </c>
      <c r="J75">
        <v>815.11</v>
      </c>
      <c r="K75">
        <v>613.33000000000004</v>
      </c>
    </row>
    <row r="76" spans="1:11" x14ac:dyDescent="0.3">
      <c r="A76" t="s">
        <v>100</v>
      </c>
      <c r="B76" s="81">
        <v>45850</v>
      </c>
      <c r="C76" t="s">
        <v>12</v>
      </c>
      <c r="D76" t="s">
        <v>13</v>
      </c>
      <c r="E76" t="s">
        <v>26</v>
      </c>
      <c r="F76">
        <v>5</v>
      </c>
      <c r="G76">
        <v>612.23</v>
      </c>
      <c r="H76">
        <v>0</v>
      </c>
      <c r="I76">
        <v>3061.13</v>
      </c>
      <c r="J76">
        <v>2356.91</v>
      </c>
      <c r="K76">
        <v>704.22</v>
      </c>
    </row>
    <row r="77" spans="1:11" x14ac:dyDescent="0.3">
      <c r="A77" t="s">
        <v>101</v>
      </c>
      <c r="B77" s="81">
        <v>45743</v>
      </c>
      <c r="C77" t="s">
        <v>12</v>
      </c>
      <c r="D77" t="s">
        <v>33</v>
      </c>
      <c r="E77" t="s">
        <v>29</v>
      </c>
      <c r="F77">
        <v>5</v>
      </c>
      <c r="G77">
        <v>709.25</v>
      </c>
      <c r="H77">
        <v>0.15</v>
      </c>
      <c r="I77">
        <v>3014.32</v>
      </c>
      <c r="J77">
        <v>1487.66</v>
      </c>
      <c r="K77">
        <v>1526.66</v>
      </c>
    </row>
    <row r="78" spans="1:11" x14ac:dyDescent="0.3">
      <c r="A78" t="s">
        <v>102</v>
      </c>
      <c r="B78" s="81">
        <v>45852</v>
      </c>
      <c r="C78" t="s">
        <v>28</v>
      </c>
      <c r="D78" t="s">
        <v>13</v>
      </c>
      <c r="E78" t="s">
        <v>22</v>
      </c>
      <c r="F78">
        <v>6</v>
      </c>
      <c r="G78">
        <v>361.95</v>
      </c>
      <c r="H78">
        <v>0</v>
      </c>
      <c r="I78">
        <v>2171.73</v>
      </c>
      <c r="J78">
        <v>1268.2</v>
      </c>
      <c r="K78">
        <v>903.53</v>
      </c>
    </row>
    <row r="79" spans="1:11" x14ac:dyDescent="0.3">
      <c r="A79" t="s">
        <v>103</v>
      </c>
      <c r="B79" s="81">
        <v>45909</v>
      </c>
      <c r="C79" t="s">
        <v>21</v>
      </c>
      <c r="D79" t="s">
        <v>17</v>
      </c>
      <c r="E79" t="s">
        <v>34</v>
      </c>
      <c r="F79">
        <v>5</v>
      </c>
      <c r="G79">
        <v>847.39</v>
      </c>
      <c r="H79">
        <v>0.1</v>
      </c>
      <c r="I79">
        <v>3813.27</v>
      </c>
      <c r="J79">
        <v>2754.35</v>
      </c>
      <c r="K79">
        <v>1058.92</v>
      </c>
    </row>
    <row r="80" spans="1:11" x14ac:dyDescent="0.3">
      <c r="A80" t="s">
        <v>104</v>
      </c>
      <c r="B80" s="81">
        <v>45965</v>
      </c>
      <c r="C80" t="s">
        <v>12</v>
      </c>
      <c r="D80" t="s">
        <v>13</v>
      </c>
      <c r="E80" t="s">
        <v>22</v>
      </c>
      <c r="F80">
        <v>4</v>
      </c>
      <c r="G80">
        <v>806.15</v>
      </c>
      <c r="H80">
        <v>0</v>
      </c>
      <c r="I80">
        <v>3224.59</v>
      </c>
      <c r="J80">
        <v>1737.52</v>
      </c>
      <c r="K80">
        <v>1487.07</v>
      </c>
    </row>
    <row r="81" spans="1:11" x14ac:dyDescent="0.3">
      <c r="A81" t="s">
        <v>105</v>
      </c>
      <c r="B81" s="81">
        <v>45678</v>
      </c>
      <c r="C81" t="s">
        <v>21</v>
      </c>
      <c r="D81" t="s">
        <v>13</v>
      </c>
      <c r="E81" t="s">
        <v>29</v>
      </c>
      <c r="F81">
        <v>4</v>
      </c>
      <c r="G81">
        <v>427.89</v>
      </c>
      <c r="H81">
        <v>0</v>
      </c>
      <c r="I81">
        <v>1711.57</v>
      </c>
      <c r="J81">
        <v>1119.8</v>
      </c>
      <c r="K81">
        <v>591.77</v>
      </c>
    </row>
    <row r="82" spans="1:11" x14ac:dyDescent="0.3">
      <c r="A82" t="s">
        <v>106</v>
      </c>
      <c r="B82" s="81">
        <v>45941</v>
      </c>
      <c r="C82" t="s">
        <v>28</v>
      </c>
      <c r="D82" t="s">
        <v>17</v>
      </c>
      <c r="E82" t="s">
        <v>34</v>
      </c>
      <c r="F82">
        <v>9</v>
      </c>
      <c r="G82">
        <v>115.19</v>
      </c>
      <c r="H82">
        <v>0.1</v>
      </c>
      <c r="I82">
        <v>933.05</v>
      </c>
      <c r="J82">
        <v>743.04</v>
      </c>
      <c r="K82">
        <v>190.01</v>
      </c>
    </row>
    <row r="83" spans="1:11" x14ac:dyDescent="0.3">
      <c r="A83" t="s">
        <v>107</v>
      </c>
      <c r="B83" s="81">
        <v>45779</v>
      </c>
      <c r="C83" t="s">
        <v>12</v>
      </c>
      <c r="D83" t="s">
        <v>13</v>
      </c>
      <c r="E83" t="s">
        <v>14</v>
      </c>
      <c r="F83">
        <v>10</v>
      </c>
      <c r="G83">
        <v>881.87</v>
      </c>
      <c r="H83">
        <v>0</v>
      </c>
      <c r="I83">
        <v>8818.74</v>
      </c>
      <c r="J83">
        <v>4197.3</v>
      </c>
      <c r="K83">
        <v>4621.4399999999996</v>
      </c>
    </row>
    <row r="84" spans="1:11" x14ac:dyDescent="0.3">
      <c r="A84" t="s">
        <v>108</v>
      </c>
      <c r="B84" s="81">
        <v>45800</v>
      </c>
      <c r="C84" t="s">
        <v>21</v>
      </c>
      <c r="D84" t="s">
        <v>17</v>
      </c>
      <c r="E84" t="s">
        <v>34</v>
      </c>
      <c r="F84">
        <v>2</v>
      </c>
      <c r="G84">
        <v>545.08000000000004</v>
      </c>
      <c r="H84">
        <v>0.1</v>
      </c>
      <c r="I84">
        <v>981.15</v>
      </c>
      <c r="J84">
        <v>586.72</v>
      </c>
      <c r="K84">
        <v>394.43</v>
      </c>
    </row>
    <row r="85" spans="1:11" x14ac:dyDescent="0.3">
      <c r="A85" t="s">
        <v>109</v>
      </c>
      <c r="B85" s="81">
        <v>45998</v>
      </c>
      <c r="C85" t="s">
        <v>16</v>
      </c>
      <c r="D85" t="s">
        <v>13</v>
      </c>
      <c r="E85" t="s">
        <v>24</v>
      </c>
      <c r="F85">
        <v>7</v>
      </c>
      <c r="G85">
        <v>330.76</v>
      </c>
      <c r="H85">
        <v>0.2</v>
      </c>
      <c r="I85">
        <v>1852.27</v>
      </c>
      <c r="J85">
        <v>1428</v>
      </c>
      <c r="K85">
        <v>424.27</v>
      </c>
    </row>
    <row r="86" spans="1:11" x14ac:dyDescent="0.3">
      <c r="A86" t="s">
        <v>110</v>
      </c>
      <c r="B86" s="81">
        <v>45835</v>
      </c>
      <c r="C86" t="s">
        <v>21</v>
      </c>
      <c r="D86" t="s">
        <v>13</v>
      </c>
      <c r="E86" t="s">
        <v>18</v>
      </c>
      <c r="F86">
        <v>5</v>
      </c>
      <c r="G86">
        <v>388.75</v>
      </c>
      <c r="H86">
        <v>0.05</v>
      </c>
      <c r="I86">
        <v>1846.55</v>
      </c>
      <c r="J86">
        <v>830.95</v>
      </c>
      <c r="K86">
        <v>1015.6</v>
      </c>
    </row>
    <row r="87" spans="1:11" x14ac:dyDescent="0.3">
      <c r="A87" t="s">
        <v>111</v>
      </c>
      <c r="B87" s="81">
        <v>45932</v>
      </c>
      <c r="C87" t="s">
        <v>16</v>
      </c>
      <c r="D87" t="s">
        <v>13</v>
      </c>
      <c r="E87" t="s">
        <v>34</v>
      </c>
      <c r="F87">
        <v>10</v>
      </c>
      <c r="G87">
        <v>883.34</v>
      </c>
      <c r="H87">
        <v>0.2</v>
      </c>
      <c r="I87">
        <v>7066.75</v>
      </c>
      <c r="J87">
        <v>4507.75</v>
      </c>
      <c r="K87">
        <v>2559</v>
      </c>
    </row>
    <row r="88" spans="1:11" x14ac:dyDescent="0.3">
      <c r="A88" t="s">
        <v>112</v>
      </c>
      <c r="B88" s="81">
        <v>45929</v>
      </c>
      <c r="C88" t="s">
        <v>21</v>
      </c>
      <c r="D88" t="s">
        <v>13</v>
      </c>
      <c r="E88" t="s">
        <v>22</v>
      </c>
      <c r="F88">
        <v>1</v>
      </c>
      <c r="G88">
        <v>397.27</v>
      </c>
      <c r="H88">
        <v>0.1</v>
      </c>
      <c r="I88">
        <v>357.54</v>
      </c>
      <c r="J88">
        <v>229.04</v>
      </c>
      <c r="K88">
        <v>128.51</v>
      </c>
    </row>
    <row r="89" spans="1:11" x14ac:dyDescent="0.3">
      <c r="A89" t="s">
        <v>113</v>
      </c>
      <c r="B89" s="81">
        <v>45978</v>
      </c>
      <c r="C89" t="s">
        <v>16</v>
      </c>
      <c r="D89" t="s">
        <v>17</v>
      </c>
      <c r="E89" t="s">
        <v>14</v>
      </c>
      <c r="F89">
        <v>4</v>
      </c>
      <c r="G89">
        <v>126.59</v>
      </c>
      <c r="H89">
        <v>0</v>
      </c>
      <c r="I89">
        <v>506.37</v>
      </c>
      <c r="J89">
        <v>293.56</v>
      </c>
      <c r="K89">
        <v>212.82</v>
      </c>
    </row>
    <row r="90" spans="1:11" x14ac:dyDescent="0.3">
      <c r="A90" t="s">
        <v>114</v>
      </c>
      <c r="B90" s="81">
        <v>45899</v>
      </c>
      <c r="C90" t="s">
        <v>16</v>
      </c>
      <c r="D90" t="s">
        <v>13</v>
      </c>
      <c r="E90" t="s">
        <v>24</v>
      </c>
      <c r="F90">
        <v>1</v>
      </c>
      <c r="G90">
        <v>593.19000000000005</v>
      </c>
      <c r="H90">
        <v>0.15</v>
      </c>
      <c r="I90">
        <v>504.21</v>
      </c>
      <c r="J90">
        <v>239.92</v>
      </c>
      <c r="K90">
        <v>264.29000000000002</v>
      </c>
    </row>
    <row r="91" spans="1:11" x14ac:dyDescent="0.3">
      <c r="A91" t="s">
        <v>115</v>
      </c>
      <c r="B91" s="81">
        <v>45688</v>
      </c>
      <c r="C91" t="s">
        <v>12</v>
      </c>
      <c r="D91" t="s">
        <v>17</v>
      </c>
      <c r="E91" t="s">
        <v>22</v>
      </c>
      <c r="F91">
        <v>2</v>
      </c>
      <c r="G91">
        <v>84.27</v>
      </c>
      <c r="H91">
        <v>0.1</v>
      </c>
      <c r="I91">
        <v>151.68</v>
      </c>
      <c r="J91">
        <v>69.08</v>
      </c>
      <c r="K91">
        <v>82.6</v>
      </c>
    </row>
    <row r="92" spans="1:11" x14ac:dyDescent="0.3">
      <c r="A92" t="s">
        <v>116</v>
      </c>
      <c r="B92" s="81">
        <v>45876</v>
      </c>
      <c r="C92" t="s">
        <v>16</v>
      </c>
      <c r="D92" t="s">
        <v>13</v>
      </c>
      <c r="E92" t="s">
        <v>14</v>
      </c>
      <c r="F92">
        <v>5</v>
      </c>
      <c r="G92">
        <v>821.12</v>
      </c>
      <c r="H92">
        <v>0.05</v>
      </c>
      <c r="I92">
        <v>3900.34</v>
      </c>
      <c r="J92">
        <v>1924.22</v>
      </c>
      <c r="K92">
        <v>1976.12</v>
      </c>
    </row>
    <row r="93" spans="1:11" x14ac:dyDescent="0.3">
      <c r="A93" t="s">
        <v>117</v>
      </c>
      <c r="B93" s="81">
        <v>45779</v>
      </c>
      <c r="C93" t="s">
        <v>28</v>
      </c>
      <c r="D93" t="s">
        <v>17</v>
      </c>
      <c r="E93" t="s">
        <v>31</v>
      </c>
      <c r="F93">
        <v>8</v>
      </c>
      <c r="G93">
        <v>603.49</v>
      </c>
      <c r="H93">
        <v>0.1</v>
      </c>
      <c r="I93">
        <v>4345.09</v>
      </c>
      <c r="J93">
        <v>2035.73</v>
      </c>
      <c r="K93">
        <v>2309.36</v>
      </c>
    </row>
    <row r="94" spans="1:11" x14ac:dyDescent="0.3">
      <c r="A94" t="s">
        <v>118</v>
      </c>
      <c r="B94" s="81">
        <v>46018</v>
      </c>
      <c r="C94" t="s">
        <v>21</v>
      </c>
      <c r="D94" t="s">
        <v>33</v>
      </c>
      <c r="E94" t="s">
        <v>14</v>
      </c>
      <c r="F94">
        <v>1</v>
      </c>
      <c r="G94">
        <v>114.92</v>
      </c>
      <c r="H94">
        <v>0.1</v>
      </c>
      <c r="I94">
        <v>103.43</v>
      </c>
      <c r="J94">
        <v>81.69</v>
      </c>
      <c r="K94">
        <v>21.74</v>
      </c>
    </row>
    <row r="95" spans="1:11" x14ac:dyDescent="0.3">
      <c r="A95" t="s">
        <v>119</v>
      </c>
      <c r="B95" s="81">
        <v>45689</v>
      </c>
      <c r="C95" t="s">
        <v>28</v>
      </c>
      <c r="D95" t="s">
        <v>13</v>
      </c>
      <c r="E95" t="s">
        <v>34</v>
      </c>
      <c r="F95">
        <v>10</v>
      </c>
      <c r="G95">
        <v>152.35</v>
      </c>
      <c r="H95">
        <v>0.1</v>
      </c>
      <c r="I95">
        <v>1371.12</v>
      </c>
      <c r="J95">
        <v>969.04</v>
      </c>
      <c r="K95">
        <v>402.09</v>
      </c>
    </row>
    <row r="96" spans="1:11" x14ac:dyDescent="0.3">
      <c r="A96" t="s">
        <v>120</v>
      </c>
      <c r="B96" s="81">
        <v>45896</v>
      </c>
      <c r="C96" t="s">
        <v>16</v>
      </c>
      <c r="D96" t="s">
        <v>17</v>
      </c>
      <c r="E96" t="s">
        <v>14</v>
      </c>
      <c r="F96">
        <v>6</v>
      </c>
      <c r="G96">
        <v>775.89</v>
      </c>
      <c r="H96">
        <v>0.05</v>
      </c>
      <c r="I96">
        <v>4422.55</v>
      </c>
      <c r="J96">
        <v>2693.64</v>
      </c>
      <c r="K96">
        <v>1728.91</v>
      </c>
    </row>
    <row r="97" spans="1:11" x14ac:dyDescent="0.3">
      <c r="A97" t="s">
        <v>121</v>
      </c>
      <c r="B97" s="81">
        <v>45850</v>
      </c>
      <c r="C97" t="s">
        <v>28</v>
      </c>
      <c r="D97" t="s">
        <v>17</v>
      </c>
      <c r="E97" t="s">
        <v>24</v>
      </c>
      <c r="F97">
        <v>1</v>
      </c>
      <c r="G97">
        <v>302.45999999999998</v>
      </c>
      <c r="H97">
        <v>0</v>
      </c>
      <c r="I97">
        <v>302.45999999999998</v>
      </c>
      <c r="J97">
        <v>220.07</v>
      </c>
      <c r="K97">
        <v>82.4</v>
      </c>
    </row>
    <row r="98" spans="1:11" x14ac:dyDescent="0.3">
      <c r="A98" t="s">
        <v>122</v>
      </c>
      <c r="B98" s="81">
        <v>45904</v>
      </c>
      <c r="C98" t="s">
        <v>16</v>
      </c>
      <c r="D98" t="s">
        <v>17</v>
      </c>
      <c r="E98" t="s">
        <v>34</v>
      </c>
      <c r="F98">
        <v>3</v>
      </c>
      <c r="G98">
        <v>545.24</v>
      </c>
      <c r="H98">
        <v>0</v>
      </c>
      <c r="I98">
        <v>1635.71</v>
      </c>
      <c r="J98">
        <v>977.51</v>
      </c>
      <c r="K98">
        <v>658.19</v>
      </c>
    </row>
    <row r="99" spans="1:11" x14ac:dyDescent="0.3">
      <c r="A99" t="s">
        <v>123</v>
      </c>
      <c r="B99" s="81">
        <v>45672</v>
      </c>
      <c r="C99" t="s">
        <v>16</v>
      </c>
      <c r="D99" t="s">
        <v>33</v>
      </c>
      <c r="E99" t="s">
        <v>14</v>
      </c>
      <c r="F99">
        <v>5</v>
      </c>
      <c r="G99">
        <v>214.02</v>
      </c>
      <c r="H99">
        <v>0.05</v>
      </c>
      <c r="I99">
        <v>1016.58</v>
      </c>
      <c r="J99">
        <v>640.84</v>
      </c>
      <c r="K99">
        <v>375.74</v>
      </c>
    </row>
    <row r="100" spans="1:11" x14ac:dyDescent="0.3">
      <c r="A100" t="s">
        <v>124</v>
      </c>
      <c r="B100" s="81">
        <v>45816</v>
      </c>
      <c r="C100" t="s">
        <v>12</v>
      </c>
      <c r="D100" t="s">
        <v>33</v>
      </c>
      <c r="E100" t="s">
        <v>26</v>
      </c>
      <c r="F100">
        <v>8</v>
      </c>
      <c r="G100">
        <v>463.39</v>
      </c>
      <c r="H100">
        <v>0.05</v>
      </c>
      <c r="I100">
        <v>3521.76</v>
      </c>
      <c r="J100">
        <v>1944.92</v>
      </c>
      <c r="K100">
        <v>1576.84</v>
      </c>
    </row>
    <row r="101" spans="1:11" x14ac:dyDescent="0.3">
      <c r="A101" t="s">
        <v>125</v>
      </c>
      <c r="B101" s="81">
        <v>45764</v>
      </c>
      <c r="C101" t="s">
        <v>21</v>
      </c>
      <c r="D101" t="s">
        <v>33</v>
      </c>
      <c r="E101" t="s">
        <v>29</v>
      </c>
      <c r="F101">
        <v>9</v>
      </c>
      <c r="G101">
        <v>241.93</v>
      </c>
      <c r="H101">
        <v>0</v>
      </c>
      <c r="I101">
        <v>2177.37</v>
      </c>
      <c r="J101">
        <v>1036.25</v>
      </c>
      <c r="K101">
        <v>1141.1199999999999</v>
      </c>
    </row>
    <row r="102" spans="1:11" x14ac:dyDescent="0.3">
      <c r="A102" t="s">
        <v>126</v>
      </c>
      <c r="B102" s="81">
        <v>45952</v>
      </c>
      <c r="C102" t="s">
        <v>28</v>
      </c>
      <c r="D102" t="s">
        <v>13</v>
      </c>
      <c r="E102" t="s">
        <v>14</v>
      </c>
      <c r="F102">
        <v>3</v>
      </c>
      <c r="G102">
        <v>538.30999999999995</v>
      </c>
      <c r="H102">
        <v>0.05</v>
      </c>
      <c r="I102">
        <v>1534.19</v>
      </c>
      <c r="J102">
        <v>1109.1300000000001</v>
      </c>
      <c r="K102">
        <v>425.06</v>
      </c>
    </row>
    <row r="103" spans="1:11" x14ac:dyDescent="0.3">
      <c r="A103" t="s">
        <v>127</v>
      </c>
      <c r="B103" s="81">
        <v>45821</v>
      </c>
      <c r="C103" t="s">
        <v>21</v>
      </c>
      <c r="D103" t="s">
        <v>13</v>
      </c>
      <c r="E103" t="s">
        <v>31</v>
      </c>
      <c r="F103">
        <v>1</v>
      </c>
      <c r="G103">
        <v>151.22999999999999</v>
      </c>
      <c r="H103">
        <v>0</v>
      </c>
      <c r="I103">
        <v>151.22999999999999</v>
      </c>
      <c r="J103">
        <v>101.69</v>
      </c>
      <c r="K103">
        <v>49.54</v>
      </c>
    </row>
    <row r="104" spans="1:11" x14ac:dyDescent="0.3">
      <c r="A104" t="s">
        <v>128</v>
      </c>
      <c r="B104" s="81">
        <v>45665</v>
      </c>
      <c r="C104" t="s">
        <v>28</v>
      </c>
      <c r="D104" t="s">
        <v>33</v>
      </c>
      <c r="E104" t="s">
        <v>24</v>
      </c>
      <c r="F104">
        <v>2</v>
      </c>
      <c r="G104">
        <v>256.18</v>
      </c>
      <c r="H104">
        <v>0.1</v>
      </c>
      <c r="I104">
        <v>461.13</v>
      </c>
      <c r="J104">
        <v>251.03</v>
      </c>
      <c r="K104">
        <v>210.1</v>
      </c>
    </row>
    <row r="105" spans="1:11" x14ac:dyDescent="0.3">
      <c r="A105" t="s">
        <v>129</v>
      </c>
      <c r="B105" s="81">
        <v>45875</v>
      </c>
      <c r="C105" t="s">
        <v>28</v>
      </c>
      <c r="D105" t="s">
        <v>33</v>
      </c>
      <c r="E105" t="s">
        <v>31</v>
      </c>
      <c r="F105">
        <v>11</v>
      </c>
      <c r="G105">
        <v>245.38</v>
      </c>
      <c r="H105">
        <v>0.05</v>
      </c>
      <c r="I105">
        <v>2564.17</v>
      </c>
      <c r="J105">
        <v>1202.8599999999999</v>
      </c>
      <c r="K105">
        <v>1361.31</v>
      </c>
    </row>
    <row r="106" spans="1:11" x14ac:dyDescent="0.3">
      <c r="A106" t="s">
        <v>130</v>
      </c>
      <c r="B106" s="81">
        <v>45732</v>
      </c>
      <c r="C106" t="s">
        <v>28</v>
      </c>
      <c r="D106" t="s">
        <v>13</v>
      </c>
      <c r="E106" t="s">
        <v>18</v>
      </c>
      <c r="F106">
        <v>9</v>
      </c>
      <c r="G106">
        <v>263.60000000000002</v>
      </c>
      <c r="H106">
        <v>0</v>
      </c>
      <c r="I106">
        <v>2372.4299999999998</v>
      </c>
      <c r="J106">
        <v>1067.82</v>
      </c>
      <c r="K106">
        <v>1304.6099999999999</v>
      </c>
    </row>
    <row r="107" spans="1:11" x14ac:dyDescent="0.3">
      <c r="A107" t="s">
        <v>131</v>
      </c>
      <c r="B107" s="81">
        <v>45907</v>
      </c>
      <c r="C107" t="s">
        <v>16</v>
      </c>
      <c r="D107" t="s">
        <v>17</v>
      </c>
      <c r="E107" t="s">
        <v>22</v>
      </c>
      <c r="F107">
        <v>2</v>
      </c>
      <c r="G107">
        <v>249.45</v>
      </c>
      <c r="H107">
        <v>0.05</v>
      </c>
      <c r="I107">
        <v>473.96</v>
      </c>
      <c r="J107">
        <v>355.21</v>
      </c>
      <c r="K107">
        <v>118.75</v>
      </c>
    </row>
    <row r="108" spans="1:11" x14ac:dyDescent="0.3">
      <c r="A108" t="s">
        <v>132</v>
      </c>
      <c r="B108" s="81">
        <v>45990</v>
      </c>
      <c r="C108" t="s">
        <v>21</v>
      </c>
      <c r="D108" t="s">
        <v>33</v>
      </c>
      <c r="E108" t="s">
        <v>26</v>
      </c>
      <c r="F108">
        <v>1</v>
      </c>
      <c r="G108">
        <v>723.17</v>
      </c>
      <c r="H108">
        <v>0</v>
      </c>
      <c r="I108">
        <v>723.17</v>
      </c>
      <c r="J108">
        <v>429.2</v>
      </c>
      <c r="K108">
        <v>293.97000000000003</v>
      </c>
    </row>
    <row r="109" spans="1:11" x14ac:dyDescent="0.3">
      <c r="A109" t="s">
        <v>133</v>
      </c>
      <c r="B109" s="81">
        <v>45821</v>
      </c>
      <c r="C109" t="s">
        <v>16</v>
      </c>
      <c r="D109" t="s">
        <v>13</v>
      </c>
      <c r="E109" t="s">
        <v>26</v>
      </c>
      <c r="F109">
        <v>2</v>
      </c>
      <c r="G109">
        <v>631.75</v>
      </c>
      <c r="H109">
        <v>0</v>
      </c>
      <c r="I109">
        <v>1263.5</v>
      </c>
      <c r="J109">
        <v>636.05999999999995</v>
      </c>
      <c r="K109">
        <v>627.44000000000005</v>
      </c>
    </row>
    <row r="110" spans="1:11" x14ac:dyDescent="0.3">
      <c r="A110" t="s">
        <v>134</v>
      </c>
      <c r="B110" s="81">
        <v>45661</v>
      </c>
      <c r="C110" t="s">
        <v>28</v>
      </c>
      <c r="D110" t="s">
        <v>13</v>
      </c>
      <c r="E110" t="s">
        <v>29</v>
      </c>
      <c r="F110">
        <v>2</v>
      </c>
      <c r="G110">
        <v>571.94000000000005</v>
      </c>
      <c r="H110">
        <v>0</v>
      </c>
      <c r="I110">
        <v>1143.8800000000001</v>
      </c>
      <c r="J110">
        <v>583.70000000000005</v>
      </c>
      <c r="K110">
        <v>560.17999999999995</v>
      </c>
    </row>
    <row r="111" spans="1:11" x14ac:dyDescent="0.3">
      <c r="A111" t="s">
        <v>135</v>
      </c>
      <c r="B111" s="81">
        <v>45979</v>
      </c>
      <c r="C111" t="s">
        <v>12</v>
      </c>
      <c r="D111" t="s">
        <v>33</v>
      </c>
      <c r="E111" t="s">
        <v>29</v>
      </c>
      <c r="F111">
        <v>2</v>
      </c>
      <c r="G111">
        <v>384.38</v>
      </c>
      <c r="H111">
        <v>0.05</v>
      </c>
      <c r="I111">
        <v>730.32</v>
      </c>
      <c r="J111">
        <v>435.7</v>
      </c>
      <c r="K111">
        <v>294.62</v>
      </c>
    </row>
    <row r="112" spans="1:11" x14ac:dyDescent="0.3">
      <c r="A112" t="s">
        <v>136</v>
      </c>
      <c r="B112" s="81">
        <v>45858</v>
      </c>
      <c r="C112" t="s">
        <v>28</v>
      </c>
      <c r="D112" t="s">
        <v>13</v>
      </c>
      <c r="E112" t="s">
        <v>22</v>
      </c>
      <c r="F112">
        <v>7</v>
      </c>
      <c r="G112">
        <v>104.1</v>
      </c>
      <c r="H112">
        <v>0</v>
      </c>
      <c r="I112">
        <v>728.71</v>
      </c>
      <c r="J112">
        <v>506.54</v>
      </c>
      <c r="K112">
        <v>222.18</v>
      </c>
    </row>
    <row r="113" spans="1:11" x14ac:dyDescent="0.3">
      <c r="A113" t="s">
        <v>137</v>
      </c>
      <c r="B113" s="81">
        <v>45819</v>
      </c>
      <c r="C113" t="s">
        <v>12</v>
      </c>
      <c r="D113" t="s">
        <v>13</v>
      </c>
      <c r="E113" t="s">
        <v>14</v>
      </c>
      <c r="F113">
        <v>9</v>
      </c>
      <c r="G113">
        <v>741.95</v>
      </c>
      <c r="H113">
        <v>0</v>
      </c>
      <c r="I113">
        <v>6677.58</v>
      </c>
      <c r="J113">
        <v>3571.23</v>
      </c>
      <c r="K113">
        <v>3106.34</v>
      </c>
    </row>
    <row r="114" spans="1:11" x14ac:dyDescent="0.3">
      <c r="A114" t="s">
        <v>138</v>
      </c>
      <c r="B114" s="81">
        <v>45682</v>
      </c>
      <c r="C114" t="s">
        <v>28</v>
      </c>
      <c r="D114" t="s">
        <v>33</v>
      </c>
      <c r="E114" t="s">
        <v>31</v>
      </c>
      <c r="F114">
        <v>7</v>
      </c>
      <c r="G114">
        <v>572.45000000000005</v>
      </c>
      <c r="H114">
        <v>0.05</v>
      </c>
      <c r="I114">
        <v>3806.77</v>
      </c>
      <c r="J114">
        <v>2759.24</v>
      </c>
      <c r="K114">
        <v>1047.53</v>
      </c>
    </row>
    <row r="115" spans="1:11" x14ac:dyDescent="0.3">
      <c r="A115" t="s">
        <v>139</v>
      </c>
      <c r="B115" s="81">
        <v>46000</v>
      </c>
      <c r="C115" t="s">
        <v>28</v>
      </c>
      <c r="D115" t="s">
        <v>13</v>
      </c>
      <c r="E115" t="s">
        <v>22</v>
      </c>
      <c r="F115">
        <v>11</v>
      </c>
      <c r="G115">
        <v>822.99</v>
      </c>
      <c r="H115">
        <v>0</v>
      </c>
      <c r="I115">
        <v>9052.85</v>
      </c>
      <c r="J115">
        <v>5147</v>
      </c>
      <c r="K115">
        <v>3905.85</v>
      </c>
    </row>
    <row r="116" spans="1:11" x14ac:dyDescent="0.3">
      <c r="A116" t="s">
        <v>140</v>
      </c>
      <c r="B116" s="81">
        <v>45679</v>
      </c>
      <c r="C116" t="s">
        <v>21</v>
      </c>
      <c r="D116" t="s">
        <v>33</v>
      </c>
      <c r="E116" t="s">
        <v>26</v>
      </c>
      <c r="F116">
        <v>6</v>
      </c>
      <c r="G116">
        <v>249.35</v>
      </c>
      <c r="H116">
        <v>0.05</v>
      </c>
      <c r="I116">
        <v>1421.27</v>
      </c>
      <c r="J116">
        <v>711</v>
      </c>
      <c r="K116">
        <v>710.27</v>
      </c>
    </row>
    <row r="117" spans="1:11" x14ac:dyDescent="0.3">
      <c r="A117" t="s">
        <v>141</v>
      </c>
      <c r="B117" s="81">
        <v>45934</v>
      </c>
      <c r="C117" t="s">
        <v>16</v>
      </c>
      <c r="D117" t="s">
        <v>13</v>
      </c>
      <c r="E117" t="s">
        <v>24</v>
      </c>
      <c r="F117">
        <v>5</v>
      </c>
      <c r="G117">
        <v>354.03</v>
      </c>
      <c r="H117">
        <v>0</v>
      </c>
      <c r="I117">
        <v>1770.13</v>
      </c>
      <c r="J117">
        <v>983.33</v>
      </c>
      <c r="K117">
        <v>786.8</v>
      </c>
    </row>
    <row r="118" spans="1:11" x14ac:dyDescent="0.3">
      <c r="A118" t="s">
        <v>142</v>
      </c>
      <c r="B118" s="81">
        <v>45927</v>
      </c>
      <c r="C118" t="s">
        <v>16</v>
      </c>
      <c r="D118" t="s">
        <v>13</v>
      </c>
      <c r="E118" t="s">
        <v>18</v>
      </c>
      <c r="F118">
        <v>3</v>
      </c>
      <c r="G118">
        <v>489.53</v>
      </c>
      <c r="H118">
        <v>0.05</v>
      </c>
      <c r="I118">
        <v>1395.15</v>
      </c>
      <c r="J118">
        <v>1034.96</v>
      </c>
      <c r="K118">
        <v>360.19</v>
      </c>
    </row>
    <row r="119" spans="1:11" x14ac:dyDescent="0.3">
      <c r="A119" t="s">
        <v>143</v>
      </c>
      <c r="B119" s="81">
        <v>45961</v>
      </c>
      <c r="C119" t="s">
        <v>21</v>
      </c>
      <c r="D119" t="s">
        <v>17</v>
      </c>
      <c r="E119" t="s">
        <v>31</v>
      </c>
      <c r="F119">
        <v>7</v>
      </c>
      <c r="G119">
        <v>780.67</v>
      </c>
      <c r="H119">
        <v>0</v>
      </c>
      <c r="I119">
        <v>5464.7</v>
      </c>
      <c r="J119">
        <v>3105.01</v>
      </c>
      <c r="K119">
        <v>2359.6799999999998</v>
      </c>
    </row>
    <row r="120" spans="1:11" x14ac:dyDescent="0.3">
      <c r="A120" t="s">
        <v>144</v>
      </c>
      <c r="B120" s="81">
        <v>45980</v>
      </c>
      <c r="C120" t="s">
        <v>21</v>
      </c>
      <c r="D120" t="s">
        <v>17</v>
      </c>
      <c r="E120" t="s">
        <v>26</v>
      </c>
      <c r="F120">
        <v>4</v>
      </c>
      <c r="G120">
        <v>596.02</v>
      </c>
      <c r="H120">
        <v>0.05</v>
      </c>
      <c r="I120">
        <v>2264.88</v>
      </c>
      <c r="J120">
        <v>1433.15</v>
      </c>
      <c r="K120">
        <v>831.73</v>
      </c>
    </row>
    <row r="121" spans="1:11" x14ac:dyDescent="0.3">
      <c r="A121" t="s">
        <v>145</v>
      </c>
      <c r="B121" s="81">
        <v>45825</v>
      </c>
      <c r="C121" t="s">
        <v>21</v>
      </c>
      <c r="D121" t="s">
        <v>17</v>
      </c>
      <c r="E121" t="s">
        <v>29</v>
      </c>
      <c r="F121">
        <v>9</v>
      </c>
      <c r="G121">
        <v>694.79</v>
      </c>
      <c r="H121">
        <v>0.05</v>
      </c>
      <c r="I121">
        <v>5940.48</v>
      </c>
      <c r="J121">
        <v>2906.84</v>
      </c>
      <c r="K121">
        <v>3033.64</v>
      </c>
    </row>
    <row r="122" spans="1:11" x14ac:dyDescent="0.3">
      <c r="A122" t="s">
        <v>146</v>
      </c>
      <c r="B122" s="81">
        <v>45819</v>
      </c>
      <c r="C122" t="s">
        <v>12</v>
      </c>
      <c r="D122" t="s">
        <v>13</v>
      </c>
      <c r="E122" t="s">
        <v>24</v>
      </c>
      <c r="F122">
        <v>6</v>
      </c>
      <c r="G122">
        <v>700.11</v>
      </c>
      <c r="H122">
        <v>0.05</v>
      </c>
      <c r="I122">
        <v>3990.65</v>
      </c>
      <c r="J122">
        <v>2543.98</v>
      </c>
      <c r="K122">
        <v>1446.67</v>
      </c>
    </row>
    <row r="123" spans="1:11" x14ac:dyDescent="0.3">
      <c r="A123" t="s">
        <v>147</v>
      </c>
      <c r="B123" s="81">
        <v>45896</v>
      </c>
      <c r="C123" t="s">
        <v>28</v>
      </c>
      <c r="D123" t="s">
        <v>13</v>
      </c>
      <c r="E123" t="s">
        <v>34</v>
      </c>
      <c r="F123">
        <v>11</v>
      </c>
      <c r="G123">
        <v>747.17</v>
      </c>
      <c r="H123">
        <v>0.05</v>
      </c>
      <c r="I123">
        <v>7807.91</v>
      </c>
      <c r="J123">
        <v>4222.5200000000004</v>
      </c>
      <c r="K123">
        <v>3585.4</v>
      </c>
    </row>
    <row r="124" spans="1:11" x14ac:dyDescent="0.3">
      <c r="A124" t="s">
        <v>148</v>
      </c>
      <c r="B124" s="81">
        <v>46005</v>
      </c>
      <c r="C124" t="s">
        <v>21</v>
      </c>
      <c r="D124" t="s">
        <v>13</v>
      </c>
      <c r="E124" t="s">
        <v>24</v>
      </c>
      <c r="F124">
        <v>7</v>
      </c>
      <c r="G124">
        <v>77.599999999999994</v>
      </c>
      <c r="H124">
        <v>0.1</v>
      </c>
      <c r="I124">
        <v>488.86</v>
      </c>
      <c r="J124">
        <v>227.61</v>
      </c>
      <c r="K124">
        <v>261.25</v>
      </c>
    </row>
    <row r="125" spans="1:11" x14ac:dyDescent="0.3">
      <c r="A125" t="s">
        <v>149</v>
      </c>
      <c r="B125" s="81">
        <v>46022</v>
      </c>
      <c r="C125" t="s">
        <v>21</v>
      </c>
      <c r="D125" t="s">
        <v>17</v>
      </c>
      <c r="E125" t="s">
        <v>24</v>
      </c>
      <c r="F125">
        <v>4</v>
      </c>
      <c r="G125">
        <v>54.68</v>
      </c>
      <c r="H125">
        <v>0.1</v>
      </c>
      <c r="I125">
        <v>196.85</v>
      </c>
      <c r="J125">
        <v>144.99</v>
      </c>
      <c r="K125">
        <v>51.86</v>
      </c>
    </row>
    <row r="126" spans="1:11" x14ac:dyDescent="0.3">
      <c r="A126" t="s">
        <v>150</v>
      </c>
      <c r="B126" s="81">
        <v>45669</v>
      </c>
      <c r="C126" t="s">
        <v>28</v>
      </c>
      <c r="D126" t="s">
        <v>33</v>
      </c>
      <c r="E126" t="s">
        <v>29</v>
      </c>
      <c r="F126">
        <v>10</v>
      </c>
      <c r="G126">
        <v>787.77</v>
      </c>
      <c r="H126">
        <v>0.05</v>
      </c>
      <c r="I126">
        <v>7483.83</v>
      </c>
      <c r="J126">
        <v>5660.96</v>
      </c>
      <c r="K126">
        <v>1822.87</v>
      </c>
    </row>
    <row r="127" spans="1:11" x14ac:dyDescent="0.3">
      <c r="A127" t="s">
        <v>151</v>
      </c>
      <c r="B127" s="81">
        <v>45820</v>
      </c>
      <c r="C127" t="s">
        <v>16</v>
      </c>
      <c r="D127" t="s">
        <v>13</v>
      </c>
      <c r="E127" t="s">
        <v>29</v>
      </c>
      <c r="F127">
        <v>3</v>
      </c>
      <c r="G127">
        <v>530.87</v>
      </c>
      <c r="H127">
        <v>0.05</v>
      </c>
      <c r="I127">
        <v>1512.98</v>
      </c>
      <c r="J127">
        <v>805.66</v>
      </c>
      <c r="K127">
        <v>707.31</v>
      </c>
    </row>
    <row r="128" spans="1:11" x14ac:dyDescent="0.3">
      <c r="A128" t="s">
        <v>152</v>
      </c>
      <c r="B128" s="81">
        <v>45749</v>
      </c>
      <c r="C128" t="s">
        <v>28</v>
      </c>
      <c r="D128" t="s">
        <v>33</v>
      </c>
      <c r="E128" t="s">
        <v>34</v>
      </c>
      <c r="F128">
        <v>10</v>
      </c>
      <c r="G128">
        <v>464.07</v>
      </c>
      <c r="H128">
        <v>0.05</v>
      </c>
      <c r="I128">
        <v>4408.71</v>
      </c>
      <c r="J128">
        <v>2649.91</v>
      </c>
      <c r="K128">
        <v>1758.8</v>
      </c>
    </row>
    <row r="129" spans="1:11" x14ac:dyDescent="0.3">
      <c r="A129" t="s">
        <v>153</v>
      </c>
      <c r="B129" s="81">
        <v>45816</v>
      </c>
      <c r="C129" t="s">
        <v>28</v>
      </c>
      <c r="D129" t="s">
        <v>17</v>
      </c>
      <c r="E129" t="s">
        <v>18</v>
      </c>
      <c r="F129">
        <v>10</v>
      </c>
      <c r="G129">
        <v>578.15</v>
      </c>
      <c r="H129">
        <v>0.1</v>
      </c>
      <c r="I129">
        <v>5203.32</v>
      </c>
      <c r="J129">
        <v>3175.99</v>
      </c>
      <c r="K129">
        <v>2027.33</v>
      </c>
    </row>
    <row r="130" spans="1:11" x14ac:dyDescent="0.3">
      <c r="A130" t="s">
        <v>154</v>
      </c>
      <c r="B130" s="81">
        <v>45883</v>
      </c>
      <c r="C130" t="s">
        <v>16</v>
      </c>
      <c r="D130" t="s">
        <v>33</v>
      </c>
      <c r="E130" t="s">
        <v>26</v>
      </c>
      <c r="F130">
        <v>1</v>
      </c>
      <c r="G130">
        <v>377.99</v>
      </c>
      <c r="H130">
        <v>0.1</v>
      </c>
      <c r="I130">
        <v>340.19</v>
      </c>
      <c r="J130">
        <v>176.52</v>
      </c>
      <c r="K130">
        <v>163.66999999999999</v>
      </c>
    </row>
    <row r="131" spans="1:11" x14ac:dyDescent="0.3">
      <c r="A131" t="s">
        <v>155</v>
      </c>
      <c r="B131" s="81">
        <v>45687</v>
      </c>
      <c r="C131" t="s">
        <v>12</v>
      </c>
      <c r="D131" t="s">
        <v>17</v>
      </c>
      <c r="E131" t="s">
        <v>34</v>
      </c>
      <c r="F131">
        <v>9</v>
      </c>
      <c r="G131">
        <v>55.44</v>
      </c>
      <c r="H131">
        <v>0.1</v>
      </c>
      <c r="I131">
        <v>449.09</v>
      </c>
      <c r="J131">
        <v>348.78</v>
      </c>
      <c r="K131">
        <v>100.31</v>
      </c>
    </row>
    <row r="132" spans="1:11" x14ac:dyDescent="0.3">
      <c r="A132" t="s">
        <v>156</v>
      </c>
      <c r="B132" s="81">
        <v>45878</v>
      </c>
      <c r="C132" t="s">
        <v>12</v>
      </c>
      <c r="D132" t="s">
        <v>33</v>
      </c>
      <c r="E132" t="s">
        <v>22</v>
      </c>
      <c r="F132">
        <v>9</v>
      </c>
      <c r="G132">
        <v>387.7</v>
      </c>
      <c r="H132">
        <v>0.1</v>
      </c>
      <c r="I132">
        <v>3140.39</v>
      </c>
      <c r="J132">
        <v>2330.7600000000002</v>
      </c>
      <c r="K132">
        <v>809.64</v>
      </c>
    </row>
    <row r="133" spans="1:11" x14ac:dyDescent="0.3">
      <c r="A133" t="s">
        <v>157</v>
      </c>
      <c r="B133" s="81">
        <v>45895</v>
      </c>
      <c r="C133" t="s">
        <v>12</v>
      </c>
      <c r="D133" t="s">
        <v>33</v>
      </c>
      <c r="E133" t="s">
        <v>29</v>
      </c>
      <c r="F133">
        <v>10</v>
      </c>
      <c r="G133">
        <v>821.14</v>
      </c>
      <c r="H133">
        <v>0</v>
      </c>
      <c r="I133">
        <v>8211.39</v>
      </c>
      <c r="J133">
        <v>6044.56</v>
      </c>
      <c r="K133">
        <v>2166.8200000000002</v>
      </c>
    </row>
    <row r="134" spans="1:11" x14ac:dyDescent="0.3">
      <c r="A134" t="s">
        <v>158</v>
      </c>
      <c r="B134" s="81">
        <v>45754</v>
      </c>
      <c r="C134" t="s">
        <v>16</v>
      </c>
      <c r="D134" t="s">
        <v>13</v>
      </c>
      <c r="E134" t="s">
        <v>34</v>
      </c>
      <c r="F134">
        <v>7</v>
      </c>
      <c r="G134">
        <v>290.75</v>
      </c>
      <c r="H134">
        <v>0.2</v>
      </c>
      <c r="I134">
        <v>1628.18</v>
      </c>
      <c r="J134">
        <v>908.79</v>
      </c>
      <c r="K134">
        <v>719.38</v>
      </c>
    </row>
    <row r="135" spans="1:11" x14ac:dyDescent="0.3">
      <c r="A135" t="s">
        <v>159</v>
      </c>
      <c r="B135" s="81">
        <v>46011</v>
      </c>
      <c r="C135" t="s">
        <v>28</v>
      </c>
      <c r="D135" t="s">
        <v>17</v>
      </c>
      <c r="E135" t="s">
        <v>29</v>
      </c>
      <c r="F135">
        <v>1</v>
      </c>
      <c r="G135">
        <v>209.69</v>
      </c>
      <c r="H135">
        <v>0.05</v>
      </c>
      <c r="I135">
        <v>199.21</v>
      </c>
      <c r="J135">
        <v>145.54</v>
      </c>
      <c r="K135">
        <v>53.67</v>
      </c>
    </row>
    <row r="136" spans="1:11" x14ac:dyDescent="0.3">
      <c r="A136" t="s">
        <v>160</v>
      </c>
      <c r="B136" s="81">
        <v>45972</v>
      </c>
      <c r="C136" t="s">
        <v>12</v>
      </c>
      <c r="D136" t="s">
        <v>33</v>
      </c>
      <c r="E136" t="s">
        <v>34</v>
      </c>
      <c r="F136">
        <v>11</v>
      </c>
      <c r="G136">
        <v>190.55</v>
      </c>
      <c r="H136">
        <v>0.1</v>
      </c>
      <c r="I136">
        <v>1886.41</v>
      </c>
      <c r="J136">
        <v>1005.51</v>
      </c>
      <c r="K136">
        <v>880.9</v>
      </c>
    </row>
    <row r="137" spans="1:11" x14ac:dyDescent="0.3">
      <c r="A137" t="s">
        <v>161</v>
      </c>
      <c r="B137" s="81">
        <v>45978</v>
      </c>
      <c r="C137" t="s">
        <v>16</v>
      </c>
      <c r="D137" t="s">
        <v>33</v>
      </c>
      <c r="E137" t="s">
        <v>24</v>
      </c>
      <c r="F137">
        <v>10</v>
      </c>
      <c r="G137">
        <v>814.22</v>
      </c>
      <c r="H137">
        <v>0.05</v>
      </c>
      <c r="I137">
        <v>7735.05</v>
      </c>
      <c r="J137">
        <v>5332.96</v>
      </c>
      <c r="K137">
        <v>2402.09</v>
      </c>
    </row>
    <row r="138" spans="1:11" x14ac:dyDescent="0.3">
      <c r="A138" t="s">
        <v>162</v>
      </c>
      <c r="B138" s="81">
        <v>45790</v>
      </c>
      <c r="C138" t="s">
        <v>12</v>
      </c>
      <c r="D138" t="s">
        <v>17</v>
      </c>
      <c r="E138" t="s">
        <v>14</v>
      </c>
      <c r="F138">
        <v>1</v>
      </c>
      <c r="G138">
        <v>213.88</v>
      </c>
      <c r="H138">
        <v>0.05</v>
      </c>
      <c r="I138">
        <v>203.18</v>
      </c>
      <c r="J138">
        <v>161.4</v>
      </c>
      <c r="K138">
        <v>41.78</v>
      </c>
    </row>
    <row r="139" spans="1:11" x14ac:dyDescent="0.3">
      <c r="A139" t="s">
        <v>163</v>
      </c>
      <c r="B139" s="81">
        <v>46011</v>
      </c>
      <c r="C139" t="s">
        <v>21</v>
      </c>
      <c r="D139" t="s">
        <v>33</v>
      </c>
      <c r="E139" t="s">
        <v>18</v>
      </c>
      <c r="F139">
        <v>6</v>
      </c>
      <c r="G139">
        <v>662.95</v>
      </c>
      <c r="H139">
        <v>0.15</v>
      </c>
      <c r="I139">
        <v>3381.04</v>
      </c>
      <c r="J139">
        <v>2053.12</v>
      </c>
      <c r="K139">
        <v>1327.92</v>
      </c>
    </row>
    <row r="140" spans="1:11" x14ac:dyDescent="0.3">
      <c r="A140" t="s">
        <v>164</v>
      </c>
      <c r="B140" s="81">
        <v>45725</v>
      </c>
      <c r="C140" t="s">
        <v>16</v>
      </c>
      <c r="D140" t="s">
        <v>17</v>
      </c>
      <c r="E140" t="s">
        <v>24</v>
      </c>
      <c r="F140">
        <v>1</v>
      </c>
      <c r="G140">
        <v>500.7</v>
      </c>
      <c r="H140">
        <v>0</v>
      </c>
      <c r="I140">
        <v>500.7</v>
      </c>
      <c r="J140">
        <v>246.71</v>
      </c>
      <c r="K140">
        <v>254</v>
      </c>
    </row>
    <row r="141" spans="1:11" x14ac:dyDescent="0.3">
      <c r="A141" t="s">
        <v>165</v>
      </c>
      <c r="B141" s="81">
        <v>46015</v>
      </c>
      <c r="C141" t="s">
        <v>16</v>
      </c>
      <c r="D141" t="s">
        <v>33</v>
      </c>
      <c r="E141" t="s">
        <v>24</v>
      </c>
      <c r="F141">
        <v>6</v>
      </c>
      <c r="G141">
        <v>421.32</v>
      </c>
      <c r="H141">
        <v>0.05</v>
      </c>
      <c r="I141">
        <v>2401.5</v>
      </c>
      <c r="J141">
        <v>1343.85</v>
      </c>
      <c r="K141">
        <v>1057.6600000000001</v>
      </c>
    </row>
    <row r="142" spans="1:11" x14ac:dyDescent="0.3">
      <c r="A142" t="s">
        <v>166</v>
      </c>
      <c r="B142" s="81">
        <v>45767</v>
      </c>
      <c r="C142" t="s">
        <v>28</v>
      </c>
      <c r="D142" t="s">
        <v>33</v>
      </c>
      <c r="E142" t="s">
        <v>34</v>
      </c>
      <c r="F142">
        <v>9</v>
      </c>
      <c r="G142">
        <v>174.91</v>
      </c>
      <c r="H142">
        <v>0.05</v>
      </c>
      <c r="I142">
        <v>1495.49</v>
      </c>
      <c r="J142">
        <v>1010.1</v>
      </c>
      <c r="K142">
        <v>485.39</v>
      </c>
    </row>
    <row r="143" spans="1:11" x14ac:dyDescent="0.3">
      <c r="A143" t="s">
        <v>167</v>
      </c>
      <c r="B143" s="81">
        <v>45960</v>
      </c>
      <c r="C143" t="s">
        <v>16</v>
      </c>
      <c r="D143" t="s">
        <v>13</v>
      </c>
      <c r="E143" t="s">
        <v>29</v>
      </c>
      <c r="F143">
        <v>8</v>
      </c>
      <c r="G143">
        <v>645.09</v>
      </c>
      <c r="H143">
        <v>0.05</v>
      </c>
      <c r="I143">
        <v>4902.6499999999996</v>
      </c>
      <c r="J143">
        <v>3831.45</v>
      </c>
      <c r="K143">
        <v>1071.2</v>
      </c>
    </row>
    <row r="144" spans="1:11" x14ac:dyDescent="0.3">
      <c r="A144" t="s">
        <v>168</v>
      </c>
      <c r="B144" s="81">
        <v>45985</v>
      </c>
      <c r="C144" t="s">
        <v>16</v>
      </c>
      <c r="D144" t="s">
        <v>17</v>
      </c>
      <c r="E144" t="s">
        <v>26</v>
      </c>
      <c r="F144">
        <v>1</v>
      </c>
      <c r="G144">
        <v>569.79</v>
      </c>
      <c r="H144">
        <v>0.15</v>
      </c>
      <c r="I144">
        <v>484.32</v>
      </c>
      <c r="J144">
        <v>312.64</v>
      </c>
      <c r="K144">
        <v>171.68</v>
      </c>
    </row>
    <row r="145" spans="1:11" x14ac:dyDescent="0.3">
      <c r="A145" t="s">
        <v>169</v>
      </c>
      <c r="B145" s="81">
        <v>46011</v>
      </c>
      <c r="C145" t="s">
        <v>16</v>
      </c>
      <c r="D145" t="s">
        <v>13</v>
      </c>
      <c r="E145" t="s">
        <v>24</v>
      </c>
      <c r="F145">
        <v>11</v>
      </c>
      <c r="G145">
        <v>416.29</v>
      </c>
      <c r="H145">
        <v>0.05</v>
      </c>
      <c r="I145">
        <v>4350.26</v>
      </c>
      <c r="J145">
        <v>3189.93</v>
      </c>
      <c r="K145">
        <v>1160.32</v>
      </c>
    </row>
    <row r="146" spans="1:11" x14ac:dyDescent="0.3">
      <c r="A146" t="s">
        <v>170</v>
      </c>
      <c r="B146" s="81">
        <v>45911</v>
      </c>
      <c r="C146" t="s">
        <v>21</v>
      </c>
      <c r="D146" t="s">
        <v>17</v>
      </c>
      <c r="E146" t="s">
        <v>34</v>
      </c>
      <c r="F146">
        <v>9</v>
      </c>
      <c r="G146">
        <v>543.04</v>
      </c>
      <c r="H146">
        <v>0.05</v>
      </c>
      <c r="I146">
        <v>4642.99</v>
      </c>
      <c r="J146">
        <v>3580.48</v>
      </c>
      <c r="K146">
        <v>1062.52</v>
      </c>
    </row>
    <row r="147" spans="1:11" x14ac:dyDescent="0.3">
      <c r="A147" t="s">
        <v>171</v>
      </c>
      <c r="B147" s="81">
        <v>45677</v>
      </c>
      <c r="C147" t="s">
        <v>21</v>
      </c>
      <c r="D147" t="s">
        <v>13</v>
      </c>
      <c r="E147" t="s">
        <v>34</v>
      </c>
      <c r="F147">
        <v>7</v>
      </c>
      <c r="G147">
        <v>327.57</v>
      </c>
      <c r="H147">
        <v>0.1</v>
      </c>
      <c r="I147">
        <v>2063.7199999999998</v>
      </c>
      <c r="J147">
        <v>1194.76</v>
      </c>
      <c r="K147">
        <v>868.96</v>
      </c>
    </row>
    <row r="148" spans="1:11" x14ac:dyDescent="0.3">
      <c r="A148" t="s">
        <v>172</v>
      </c>
      <c r="B148" s="81">
        <v>45941</v>
      </c>
      <c r="C148" t="s">
        <v>21</v>
      </c>
      <c r="D148" t="s">
        <v>33</v>
      </c>
      <c r="E148" t="s">
        <v>18</v>
      </c>
      <c r="F148">
        <v>6</v>
      </c>
      <c r="G148">
        <v>699.96</v>
      </c>
      <c r="H148">
        <v>0.15</v>
      </c>
      <c r="I148">
        <v>3569.8</v>
      </c>
      <c r="J148">
        <v>2005.43</v>
      </c>
      <c r="K148">
        <v>1564.37</v>
      </c>
    </row>
    <row r="149" spans="1:11" x14ac:dyDescent="0.3">
      <c r="A149" t="s">
        <v>173</v>
      </c>
      <c r="B149" s="81">
        <v>45922</v>
      </c>
      <c r="C149" t="s">
        <v>21</v>
      </c>
      <c r="D149" t="s">
        <v>13</v>
      </c>
      <c r="E149" t="s">
        <v>26</v>
      </c>
      <c r="F149">
        <v>4</v>
      </c>
      <c r="G149">
        <v>66.569999999999993</v>
      </c>
      <c r="H149">
        <v>0.1</v>
      </c>
      <c r="I149">
        <v>239.66</v>
      </c>
      <c r="J149">
        <v>176.15</v>
      </c>
      <c r="K149">
        <v>63.51</v>
      </c>
    </row>
    <row r="150" spans="1:11" x14ac:dyDescent="0.3">
      <c r="A150" t="s">
        <v>174</v>
      </c>
      <c r="B150" s="81">
        <v>45918</v>
      </c>
      <c r="C150" t="s">
        <v>21</v>
      </c>
      <c r="D150" t="s">
        <v>17</v>
      </c>
      <c r="E150" t="s">
        <v>31</v>
      </c>
      <c r="F150">
        <v>8</v>
      </c>
      <c r="G150">
        <v>180.25</v>
      </c>
      <c r="H150">
        <v>0</v>
      </c>
      <c r="I150">
        <v>1442.01</v>
      </c>
      <c r="J150">
        <v>948.06</v>
      </c>
      <c r="K150">
        <v>493.95</v>
      </c>
    </row>
    <row r="151" spans="1:11" x14ac:dyDescent="0.3">
      <c r="A151" t="s">
        <v>175</v>
      </c>
      <c r="B151" s="81">
        <v>45870</v>
      </c>
      <c r="C151" t="s">
        <v>16</v>
      </c>
      <c r="D151" t="s">
        <v>13</v>
      </c>
      <c r="E151" t="s">
        <v>34</v>
      </c>
      <c r="F151">
        <v>6</v>
      </c>
      <c r="G151">
        <v>892.06</v>
      </c>
      <c r="H151">
        <v>0</v>
      </c>
      <c r="I151">
        <v>5352.39</v>
      </c>
      <c r="J151">
        <v>3241.47</v>
      </c>
      <c r="K151">
        <v>2110.92</v>
      </c>
    </row>
    <row r="152" spans="1:11" x14ac:dyDescent="0.3">
      <c r="A152" t="s">
        <v>176</v>
      </c>
      <c r="B152" s="81">
        <v>45726</v>
      </c>
      <c r="C152" t="s">
        <v>16</v>
      </c>
      <c r="D152" t="s">
        <v>17</v>
      </c>
      <c r="E152" t="s">
        <v>22</v>
      </c>
      <c r="F152">
        <v>11</v>
      </c>
      <c r="G152">
        <v>412.43</v>
      </c>
      <c r="H152">
        <v>0.05</v>
      </c>
      <c r="I152">
        <v>4309.91</v>
      </c>
      <c r="J152">
        <v>2710.68</v>
      </c>
      <c r="K152">
        <v>1599.23</v>
      </c>
    </row>
    <row r="153" spans="1:11" x14ac:dyDescent="0.3">
      <c r="A153" t="s">
        <v>177</v>
      </c>
      <c r="B153" s="81">
        <v>45777</v>
      </c>
      <c r="C153" t="s">
        <v>28</v>
      </c>
      <c r="D153" t="s">
        <v>13</v>
      </c>
      <c r="E153" t="s">
        <v>18</v>
      </c>
      <c r="F153">
        <v>1</v>
      </c>
      <c r="G153">
        <v>376.82</v>
      </c>
      <c r="H153">
        <v>0</v>
      </c>
      <c r="I153">
        <v>376.82</v>
      </c>
      <c r="J153">
        <v>232.32</v>
      </c>
      <c r="K153">
        <v>144.5</v>
      </c>
    </row>
    <row r="154" spans="1:11" x14ac:dyDescent="0.3">
      <c r="A154" t="s">
        <v>178</v>
      </c>
      <c r="B154" s="81">
        <v>45971</v>
      </c>
      <c r="C154" t="s">
        <v>21</v>
      </c>
      <c r="D154" t="s">
        <v>13</v>
      </c>
      <c r="E154" t="s">
        <v>24</v>
      </c>
      <c r="F154">
        <v>8</v>
      </c>
      <c r="G154">
        <v>696.09</v>
      </c>
      <c r="H154">
        <v>0</v>
      </c>
      <c r="I154">
        <v>5568.75</v>
      </c>
      <c r="J154">
        <v>2581.2600000000002</v>
      </c>
      <c r="K154">
        <v>2987.49</v>
      </c>
    </row>
    <row r="155" spans="1:11" x14ac:dyDescent="0.3">
      <c r="A155" t="s">
        <v>179</v>
      </c>
      <c r="B155" s="81">
        <v>45745</v>
      </c>
      <c r="C155" t="s">
        <v>12</v>
      </c>
      <c r="D155" t="s">
        <v>17</v>
      </c>
      <c r="E155" t="s">
        <v>31</v>
      </c>
      <c r="F155">
        <v>1</v>
      </c>
      <c r="G155">
        <v>581.6</v>
      </c>
      <c r="H155">
        <v>0.05</v>
      </c>
      <c r="I155">
        <v>552.52</v>
      </c>
      <c r="J155">
        <v>342.38</v>
      </c>
      <c r="K155">
        <v>210.15</v>
      </c>
    </row>
    <row r="156" spans="1:11" x14ac:dyDescent="0.3">
      <c r="A156" t="s">
        <v>180</v>
      </c>
      <c r="B156" s="81">
        <v>45696</v>
      </c>
      <c r="C156" t="s">
        <v>12</v>
      </c>
      <c r="D156" t="s">
        <v>13</v>
      </c>
      <c r="E156" t="s">
        <v>22</v>
      </c>
      <c r="F156">
        <v>11</v>
      </c>
      <c r="G156">
        <v>164.01</v>
      </c>
      <c r="H156">
        <v>0.05</v>
      </c>
      <c r="I156">
        <v>1713.89</v>
      </c>
      <c r="J156">
        <v>876.82</v>
      </c>
      <c r="K156">
        <v>837.07</v>
      </c>
    </row>
    <row r="157" spans="1:11" x14ac:dyDescent="0.3">
      <c r="A157" t="s">
        <v>181</v>
      </c>
      <c r="B157" s="81">
        <v>45834</v>
      </c>
      <c r="C157" t="s">
        <v>12</v>
      </c>
      <c r="D157" t="s">
        <v>17</v>
      </c>
      <c r="E157" t="s">
        <v>14</v>
      </c>
      <c r="F157">
        <v>4</v>
      </c>
      <c r="G157">
        <v>383.35</v>
      </c>
      <c r="H157">
        <v>0.2</v>
      </c>
      <c r="I157">
        <v>1226.71</v>
      </c>
      <c r="J157">
        <v>895.99</v>
      </c>
      <c r="K157">
        <v>330.73</v>
      </c>
    </row>
    <row r="158" spans="1:11" x14ac:dyDescent="0.3">
      <c r="A158" t="s">
        <v>182</v>
      </c>
      <c r="B158" s="81">
        <v>45727</v>
      </c>
      <c r="C158" t="s">
        <v>16</v>
      </c>
      <c r="D158" t="s">
        <v>17</v>
      </c>
      <c r="E158" t="s">
        <v>26</v>
      </c>
      <c r="F158">
        <v>7</v>
      </c>
      <c r="G158">
        <v>380.68</v>
      </c>
      <c r="H158">
        <v>0.15</v>
      </c>
      <c r="I158">
        <v>2265.02</v>
      </c>
      <c r="J158">
        <v>1168.3900000000001</v>
      </c>
      <c r="K158">
        <v>1096.6300000000001</v>
      </c>
    </row>
    <row r="159" spans="1:11" x14ac:dyDescent="0.3">
      <c r="A159" t="s">
        <v>183</v>
      </c>
      <c r="B159" s="81">
        <v>45840</v>
      </c>
      <c r="C159" t="s">
        <v>12</v>
      </c>
      <c r="D159" t="s">
        <v>17</v>
      </c>
      <c r="E159" t="s">
        <v>31</v>
      </c>
      <c r="F159">
        <v>11</v>
      </c>
      <c r="G159">
        <v>426.18</v>
      </c>
      <c r="H159">
        <v>0.1</v>
      </c>
      <c r="I159">
        <v>4219.2</v>
      </c>
      <c r="J159">
        <v>3024.73</v>
      </c>
      <c r="K159">
        <v>1194.47</v>
      </c>
    </row>
    <row r="160" spans="1:11" x14ac:dyDescent="0.3">
      <c r="A160" t="s">
        <v>184</v>
      </c>
      <c r="B160" s="81">
        <v>45913</v>
      </c>
      <c r="C160" t="s">
        <v>21</v>
      </c>
      <c r="D160" t="s">
        <v>13</v>
      </c>
      <c r="E160" t="s">
        <v>22</v>
      </c>
      <c r="F160">
        <v>7</v>
      </c>
      <c r="G160">
        <v>698.92</v>
      </c>
      <c r="H160">
        <v>0</v>
      </c>
      <c r="I160">
        <v>4892.43</v>
      </c>
      <c r="J160">
        <v>3130.59</v>
      </c>
      <c r="K160">
        <v>1761.85</v>
      </c>
    </row>
    <row r="161" spans="1:11" x14ac:dyDescent="0.3">
      <c r="A161" t="s">
        <v>185</v>
      </c>
      <c r="B161" s="81">
        <v>45817</v>
      </c>
      <c r="C161" t="s">
        <v>12</v>
      </c>
      <c r="D161" t="s">
        <v>13</v>
      </c>
      <c r="E161" t="s">
        <v>24</v>
      </c>
      <c r="F161">
        <v>5</v>
      </c>
      <c r="G161">
        <v>811.38</v>
      </c>
      <c r="H161">
        <v>0</v>
      </c>
      <c r="I161">
        <v>4056.9</v>
      </c>
      <c r="J161">
        <v>3054.54</v>
      </c>
      <c r="K161">
        <v>1002.37</v>
      </c>
    </row>
    <row r="162" spans="1:11" x14ac:dyDescent="0.3">
      <c r="A162" t="s">
        <v>186</v>
      </c>
      <c r="B162" s="81">
        <v>45835</v>
      </c>
      <c r="C162" t="s">
        <v>28</v>
      </c>
      <c r="D162" t="s">
        <v>13</v>
      </c>
      <c r="E162" t="s">
        <v>34</v>
      </c>
      <c r="F162">
        <v>5</v>
      </c>
      <c r="G162">
        <v>806.81</v>
      </c>
      <c r="H162">
        <v>0.2</v>
      </c>
      <c r="I162">
        <v>3227.25</v>
      </c>
      <c r="J162">
        <v>1567.2</v>
      </c>
      <c r="K162">
        <v>1660.05</v>
      </c>
    </row>
    <row r="163" spans="1:11" x14ac:dyDescent="0.3">
      <c r="A163" t="s">
        <v>187</v>
      </c>
      <c r="B163" s="81">
        <v>46006</v>
      </c>
      <c r="C163" t="s">
        <v>12</v>
      </c>
      <c r="D163" t="s">
        <v>17</v>
      </c>
      <c r="E163" t="s">
        <v>14</v>
      </c>
      <c r="F163">
        <v>11</v>
      </c>
      <c r="G163">
        <v>85.83</v>
      </c>
      <c r="H163">
        <v>0.1</v>
      </c>
      <c r="I163">
        <v>849.7</v>
      </c>
      <c r="J163">
        <v>480.1</v>
      </c>
      <c r="K163">
        <v>369.59</v>
      </c>
    </row>
    <row r="164" spans="1:11" x14ac:dyDescent="0.3">
      <c r="A164" t="s">
        <v>188</v>
      </c>
      <c r="B164" s="81">
        <v>45960</v>
      </c>
      <c r="C164" t="s">
        <v>16</v>
      </c>
      <c r="D164" t="s">
        <v>33</v>
      </c>
      <c r="E164" t="s">
        <v>31</v>
      </c>
      <c r="F164">
        <v>9</v>
      </c>
      <c r="G164">
        <v>291.16000000000003</v>
      </c>
      <c r="H164">
        <v>0.1</v>
      </c>
      <c r="I164">
        <v>2358.4</v>
      </c>
      <c r="J164">
        <v>1860.17</v>
      </c>
      <c r="K164">
        <v>498.22</v>
      </c>
    </row>
    <row r="165" spans="1:11" x14ac:dyDescent="0.3">
      <c r="A165" t="s">
        <v>189</v>
      </c>
      <c r="B165" s="81">
        <v>45842</v>
      </c>
      <c r="C165" t="s">
        <v>28</v>
      </c>
      <c r="D165" t="s">
        <v>17</v>
      </c>
      <c r="E165" t="s">
        <v>31</v>
      </c>
      <c r="F165">
        <v>4</v>
      </c>
      <c r="G165">
        <v>89.15</v>
      </c>
      <c r="H165">
        <v>0.05</v>
      </c>
      <c r="I165">
        <v>338.77</v>
      </c>
      <c r="J165">
        <v>197.71</v>
      </c>
      <c r="K165">
        <v>141.06</v>
      </c>
    </row>
    <row r="166" spans="1:11" x14ac:dyDescent="0.3">
      <c r="A166" t="s">
        <v>190</v>
      </c>
      <c r="B166" s="81">
        <v>46022</v>
      </c>
      <c r="C166" t="s">
        <v>12</v>
      </c>
      <c r="D166" t="s">
        <v>13</v>
      </c>
      <c r="E166" t="s">
        <v>18</v>
      </c>
      <c r="F166">
        <v>11</v>
      </c>
      <c r="G166">
        <v>126.58</v>
      </c>
      <c r="H166">
        <v>0.1</v>
      </c>
      <c r="I166">
        <v>1253.17</v>
      </c>
      <c r="J166">
        <v>809.75</v>
      </c>
      <c r="K166">
        <v>443.41</v>
      </c>
    </row>
    <row r="167" spans="1:11" x14ac:dyDescent="0.3">
      <c r="A167" t="s">
        <v>191</v>
      </c>
      <c r="B167" s="81">
        <v>45886</v>
      </c>
      <c r="C167" t="s">
        <v>21</v>
      </c>
      <c r="D167" t="s">
        <v>17</v>
      </c>
      <c r="E167" t="s">
        <v>22</v>
      </c>
      <c r="F167">
        <v>2</v>
      </c>
      <c r="G167">
        <v>468.68</v>
      </c>
      <c r="H167">
        <v>0</v>
      </c>
      <c r="I167">
        <v>937.36</v>
      </c>
      <c r="J167">
        <v>678.6</v>
      </c>
      <c r="K167">
        <v>258.76</v>
      </c>
    </row>
    <row r="168" spans="1:11" x14ac:dyDescent="0.3">
      <c r="A168" t="s">
        <v>192</v>
      </c>
      <c r="B168" s="81">
        <v>45723</v>
      </c>
      <c r="C168" t="s">
        <v>28</v>
      </c>
      <c r="D168" t="s">
        <v>13</v>
      </c>
      <c r="E168" t="s">
        <v>26</v>
      </c>
      <c r="F168">
        <v>4</v>
      </c>
      <c r="G168">
        <v>237.48</v>
      </c>
      <c r="H168">
        <v>0.05</v>
      </c>
      <c r="I168">
        <v>902.42</v>
      </c>
      <c r="J168">
        <v>706.18</v>
      </c>
      <c r="K168">
        <v>196.24</v>
      </c>
    </row>
    <row r="169" spans="1:11" x14ac:dyDescent="0.3">
      <c r="A169" t="s">
        <v>193</v>
      </c>
      <c r="B169" s="81">
        <v>45742</v>
      </c>
      <c r="C169" t="s">
        <v>28</v>
      </c>
      <c r="D169" t="s">
        <v>17</v>
      </c>
      <c r="E169" t="s">
        <v>18</v>
      </c>
      <c r="F169">
        <v>9</v>
      </c>
      <c r="G169">
        <v>523.66</v>
      </c>
      <c r="H169">
        <v>0</v>
      </c>
      <c r="I169">
        <v>4712.9799999999996</v>
      </c>
      <c r="J169">
        <v>3116.44</v>
      </c>
      <c r="K169">
        <v>1596.54</v>
      </c>
    </row>
    <row r="170" spans="1:11" x14ac:dyDescent="0.3">
      <c r="A170" t="s">
        <v>194</v>
      </c>
      <c r="B170" s="81">
        <v>45684</v>
      </c>
      <c r="C170" t="s">
        <v>28</v>
      </c>
      <c r="D170" t="s">
        <v>13</v>
      </c>
      <c r="E170" t="s">
        <v>26</v>
      </c>
      <c r="F170">
        <v>8</v>
      </c>
      <c r="G170">
        <v>765.42</v>
      </c>
      <c r="H170">
        <v>0</v>
      </c>
      <c r="I170">
        <v>6123.37</v>
      </c>
      <c r="J170">
        <v>3031.49</v>
      </c>
      <c r="K170">
        <v>3091.88</v>
      </c>
    </row>
    <row r="171" spans="1:11" x14ac:dyDescent="0.3">
      <c r="A171" t="s">
        <v>195</v>
      </c>
      <c r="B171" s="81">
        <v>45733</v>
      </c>
      <c r="C171" t="s">
        <v>21</v>
      </c>
      <c r="D171" t="s">
        <v>13</v>
      </c>
      <c r="E171" t="s">
        <v>26</v>
      </c>
      <c r="F171">
        <v>9</v>
      </c>
      <c r="G171">
        <v>619.25</v>
      </c>
      <c r="H171">
        <v>0</v>
      </c>
      <c r="I171">
        <v>5573.28</v>
      </c>
      <c r="J171">
        <v>2832.33</v>
      </c>
      <c r="K171">
        <v>2740.95</v>
      </c>
    </row>
    <row r="172" spans="1:11" x14ac:dyDescent="0.3">
      <c r="A172" t="s">
        <v>196</v>
      </c>
      <c r="B172" s="81">
        <v>45821</v>
      </c>
      <c r="C172" t="s">
        <v>12</v>
      </c>
      <c r="D172" t="s">
        <v>17</v>
      </c>
      <c r="E172" t="s">
        <v>29</v>
      </c>
      <c r="F172">
        <v>10</v>
      </c>
      <c r="G172">
        <v>405.75</v>
      </c>
      <c r="H172">
        <v>0.05</v>
      </c>
      <c r="I172">
        <v>3854.59</v>
      </c>
      <c r="J172">
        <v>2471.4299999999998</v>
      </c>
      <c r="K172">
        <v>1383.16</v>
      </c>
    </row>
    <row r="173" spans="1:11" x14ac:dyDescent="0.3">
      <c r="A173" t="s">
        <v>197</v>
      </c>
      <c r="B173" s="81">
        <v>45811</v>
      </c>
      <c r="C173" t="s">
        <v>21</v>
      </c>
      <c r="D173" t="s">
        <v>33</v>
      </c>
      <c r="E173" t="s">
        <v>18</v>
      </c>
      <c r="F173">
        <v>3</v>
      </c>
      <c r="G173">
        <v>282.38</v>
      </c>
      <c r="H173">
        <v>0.05</v>
      </c>
      <c r="I173">
        <v>804.79</v>
      </c>
      <c r="J173">
        <v>620.25</v>
      </c>
      <c r="K173">
        <v>184.54</v>
      </c>
    </row>
    <row r="174" spans="1:11" x14ac:dyDescent="0.3">
      <c r="A174" t="s">
        <v>198</v>
      </c>
      <c r="B174" s="81">
        <v>45952</v>
      </c>
      <c r="C174" t="s">
        <v>21</v>
      </c>
      <c r="D174" t="s">
        <v>13</v>
      </c>
      <c r="E174" t="s">
        <v>29</v>
      </c>
      <c r="F174">
        <v>2</v>
      </c>
      <c r="G174">
        <v>35.69</v>
      </c>
      <c r="H174">
        <v>0.1</v>
      </c>
      <c r="I174">
        <v>64.239999999999995</v>
      </c>
      <c r="J174">
        <v>37.25</v>
      </c>
      <c r="K174">
        <v>26.99</v>
      </c>
    </row>
    <row r="175" spans="1:11" x14ac:dyDescent="0.3">
      <c r="A175" t="s">
        <v>199</v>
      </c>
      <c r="B175" s="81">
        <v>45771</v>
      </c>
      <c r="C175" t="s">
        <v>21</v>
      </c>
      <c r="D175" t="s">
        <v>13</v>
      </c>
      <c r="E175" t="s">
        <v>22</v>
      </c>
      <c r="F175">
        <v>11</v>
      </c>
      <c r="G175">
        <v>687.25</v>
      </c>
      <c r="H175">
        <v>0.05</v>
      </c>
      <c r="I175">
        <v>7181.78</v>
      </c>
      <c r="J175">
        <v>3786.72</v>
      </c>
      <c r="K175">
        <v>3395.06</v>
      </c>
    </row>
    <row r="176" spans="1:11" x14ac:dyDescent="0.3">
      <c r="A176" t="s">
        <v>200</v>
      </c>
      <c r="B176" s="81">
        <v>45977</v>
      </c>
      <c r="C176" t="s">
        <v>16</v>
      </c>
      <c r="D176" t="s">
        <v>17</v>
      </c>
      <c r="E176" t="s">
        <v>34</v>
      </c>
      <c r="F176">
        <v>2</v>
      </c>
      <c r="G176">
        <v>359.69</v>
      </c>
      <c r="H176">
        <v>0</v>
      </c>
      <c r="I176">
        <v>719.38</v>
      </c>
      <c r="J176">
        <v>481.22</v>
      </c>
      <c r="K176">
        <v>238.16</v>
      </c>
    </row>
    <row r="177" spans="1:11" x14ac:dyDescent="0.3">
      <c r="A177" t="s">
        <v>201</v>
      </c>
      <c r="B177" s="81">
        <v>45928</v>
      </c>
      <c r="C177" t="s">
        <v>21</v>
      </c>
      <c r="D177" t="s">
        <v>33</v>
      </c>
      <c r="E177" t="s">
        <v>26</v>
      </c>
      <c r="F177">
        <v>5</v>
      </c>
      <c r="G177">
        <v>522.08000000000004</v>
      </c>
      <c r="H177">
        <v>0.1</v>
      </c>
      <c r="I177">
        <v>2349.38</v>
      </c>
      <c r="J177">
        <v>1515.96</v>
      </c>
      <c r="K177">
        <v>833.42</v>
      </c>
    </row>
    <row r="178" spans="1:11" x14ac:dyDescent="0.3">
      <c r="A178" t="s">
        <v>202</v>
      </c>
      <c r="B178" s="81">
        <v>45794</v>
      </c>
      <c r="C178" t="s">
        <v>12</v>
      </c>
      <c r="D178" t="s">
        <v>13</v>
      </c>
      <c r="E178" t="s">
        <v>29</v>
      </c>
      <c r="F178">
        <v>6</v>
      </c>
      <c r="G178">
        <v>681.83</v>
      </c>
      <c r="H178">
        <v>0.05</v>
      </c>
      <c r="I178">
        <v>3886.44</v>
      </c>
      <c r="J178">
        <v>3069.25</v>
      </c>
      <c r="K178">
        <v>817.19</v>
      </c>
    </row>
    <row r="179" spans="1:11" x14ac:dyDescent="0.3">
      <c r="A179" t="s">
        <v>203</v>
      </c>
      <c r="B179" s="81">
        <v>45682</v>
      </c>
      <c r="C179" t="s">
        <v>12</v>
      </c>
      <c r="D179" t="s">
        <v>33</v>
      </c>
      <c r="E179" t="s">
        <v>24</v>
      </c>
      <c r="F179">
        <v>10</v>
      </c>
      <c r="G179">
        <v>154.15</v>
      </c>
      <c r="H179">
        <v>0.05</v>
      </c>
      <c r="I179">
        <v>1464.39</v>
      </c>
      <c r="J179">
        <v>902.23</v>
      </c>
      <c r="K179">
        <v>562.16</v>
      </c>
    </row>
    <row r="180" spans="1:11" x14ac:dyDescent="0.3">
      <c r="A180" t="s">
        <v>204</v>
      </c>
      <c r="B180" s="81">
        <v>45940</v>
      </c>
      <c r="C180" t="s">
        <v>16</v>
      </c>
      <c r="D180" t="s">
        <v>13</v>
      </c>
      <c r="E180" t="s">
        <v>29</v>
      </c>
      <c r="F180">
        <v>1</v>
      </c>
      <c r="G180">
        <v>339.3</v>
      </c>
      <c r="H180">
        <v>0.05</v>
      </c>
      <c r="I180">
        <v>322.33999999999997</v>
      </c>
      <c r="J180">
        <v>255.82</v>
      </c>
      <c r="K180">
        <v>66.52</v>
      </c>
    </row>
    <row r="181" spans="1:11" x14ac:dyDescent="0.3">
      <c r="A181" t="s">
        <v>205</v>
      </c>
      <c r="B181" s="81">
        <v>45930</v>
      </c>
      <c r="C181" t="s">
        <v>28</v>
      </c>
      <c r="D181" t="s">
        <v>33</v>
      </c>
      <c r="E181" t="s">
        <v>24</v>
      </c>
      <c r="F181">
        <v>6</v>
      </c>
      <c r="G181">
        <v>148.66</v>
      </c>
      <c r="H181">
        <v>0.05</v>
      </c>
      <c r="I181">
        <v>847.38</v>
      </c>
      <c r="J181">
        <v>488.09</v>
      </c>
      <c r="K181">
        <v>359.29</v>
      </c>
    </row>
    <row r="182" spans="1:11" x14ac:dyDescent="0.3">
      <c r="A182" t="s">
        <v>206</v>
      </c>
      <c r="B182" s="81">
        <v>45789</v>
      </c>
      <c r="C182" t="s">
        <v>28</v>
      </c>
      <c r="D182" t="s">
        <v>17</v>
      </c>
      <c r="E182" t="s">
        <v>34</v>
      </c>
      <c r="F182">
        <v>8</v>
      </c>
      <c r="G182">
        <v>246.37</v>
      </c>
      <c r="H182">
        <v>0.1</v>
      </c>
      <c r="I182">
        <v>1773.9</v>
      </c>
      <c r="J182">
        <v>1037.77</v>
      </c>
      <c r="K182">
        <v>736.13</v>
      </c>
    </row>
    <row r="183" spans="1:11" x14ac:dyDescent="0.3">
      <c r="A183" t="s">
        <v>207</v>
      </c>
      <c r="B183" s="81">
        <v>45916</v>
      </c>
      <c r="C183" t="s">
        <v>16</v>
      </c>
      <c r="D183" t="s">
        <v>17</v>
      </c>
      <c r="E183" t="s">
        <v>29</v>
      </c>
      <c r="F183">
        <v>11</v>
      </c>
      <c r="G183">
        <v>343.68</v>
      </c>
      <c r="H183">
        <v>0</v>
      </c>
      <c r="I183">
        <v>3780.5</v>
      </c>
      <c r="J183">
        <v>2724.6</v>
      </c>
      <c r="K183">
        <v>1055.9000000000001</v>
      </c>
    </row>
    <row r="184" spans="1:11" x14ac:dyDescent="0.3">
      <c r="A184" t="s">
        <v>208</v>
      </c>
      <c r="B184" s="81">
        <v>45873</v>
      </c>
      <c r="C184" t="s">
        <v>28</v>
      </c>
      <c r="D184" t="s">
        <v>33</v>
      </c>
      <c r="E184" t="s">
        <v>31</v>
      </c>
      <c r="F184">
        <v>1</v>
      </c>
      <c r="G184">
        <v>333.29</v>
      </c>
      <c r="H184">
        <v>0</v>
      </c>
      <c r="I184">
        <v>333.29</v>
      </c>
      <c r="J184">
        <v>225.83</v>
      </c>
      <c r="K184">
        <v>107.47</v>
      </c>
    </row>
    <row r="185" spans="1:11" x14ac:dyDescent="0.3">
      <c r="A185" t="s">
        <v>209</v>
      </c>
      <c r="B185" s="81">
        <v>45699</v>
      </c>
      <c r="C185" t="s">
        <v>12</v>
      </c>
      <c r="D185" t="s">
        <v>33</v>
      </c>
      <c r="E185" t="s">
        <v>29</v>
      </c>
      <c r="F185">
        <v>2</v>
      </c>
      <c r="G185">
        <v>318.63</v>
      </c>
      <c r="H185">
        <v>0</v>
      </c>
      <c r="I185">
        <v>637.26</v>
      </c>
      <c r="J185">
        <v>301.24</v>
      </c>
      <c r="K185">
        <v>336.02</v>
      </c>
    </row>
    <row r="186" spans="1:11" x14ac:dyDescent="0.3">
      <c r="A186" t="s">
        <v>210</v>
      </c>
      <c r="B186" s="81">
        <v>46013</v>
      </c>
      <c r="C186" t="s">
        <v>16</v>
      </c>
      <c r="D186" t="s">
        <v>13</v>
      </c>
      <c r="E186" t="s">
        <v>31</v>
      </c>
      <c r="F186">
        <v>4</v>
      </c>
      <c r="G186">
        <v>125.32</v>
      </c>
      <c r="H186">
        <v>0</v>
      </c>
      <c r="I186">
        <v>501.26</v>
      </c>
      <c r="J186">
        <v>358.51</v>
      </c>
      <c r="K186">
        <v>142.75</v>
      </c>
    </row>
    <row r="187" spans="1:11" x14ac:dyDescent="0.3">
      <c r="A187" t="s">
        <v>211</v>
      </c>
      <c r="B187" s="81">
        <v>45724</v>
      </c>
      <c r="C187" t="s">
        <v>12</v>
      </c>
      <c r="D187" t="s">
        <v>17</v>
      </c>
      <c r="E187" t="s">
        <v>22</v>
      </c>
      <c r="F187">
        <v>5</v>
      </c>
      <c r="G187">
        <v>312.19</v>
      </c>
      <c r="H187">
        <v>0.1</v>
      </c>
      <c r="I187">
        <v>1404.86</v>
      </c>
      <c r="J187">
        <v>905.57</v>
      </c>
      <c r="K187">
        <v>499.29</v>
      </c>
    </row>
    <row r="188" spans="1:11" x14ac:dyDescent="0.3">
      <c r="A188" t="s">
        <v>212</v>
      </c>
      <c r="B188" s="81">
        <v>46021</v>
      </c>
      <c r="C188" t="s">
        <v>16</v>
      </c>
      <c r="D188" t="s">
        <v>13</v>
      </c>
      <c r="E188" t="s">
        <v>31</v>
      </c>
      <c r="F188">
        <v>2</v>
      </c>
      <c r="G188">
        <v>811.31</v>
      </c>
      <c r="H188">
        <v>0.15</v>
      </c>
      <c r="I188">
        <v>1379.23</v>
      </c>
      <c r="J188">
        <v>997.87</v>
      </c>
      <c r="K188">
        <v>381.36</v>
      </c>
    </row>
    <row r="189" spans="1:11" x14ac:dyDescent="0.3">
      <c r="A189" t="s">
        <v>213</v>
      </c>
      <c r="B189" s="81">
        <v>45786</v>
      </c>
      <c r="C189" t="s">
        <v>16</v>
      </c>
      <c r="D189" t="s">
        <v>13</v>
      </c>
      <c r="E189" t="s">
        <v>18</v>
      </c>
      <c r="F189">
        <v>3</v>
      </c>
      <c r="G189">
        <v>694.83</v>
      </c>
      <c r="H189">
        <v>0</v>
      </c>
      <c r="I189">
        <v>2084.5</v>
      </c>
      <c r="J189">
        <v>1598.55</v>
      </c>
      <c r="K189">
        <v>485.95</v>
      </c>
    </row>
    <row r="190" spans="1:11" x14ac:dyDescent="0.3">
      <c r="A190" t="s">
        <v>214</v>
      </c>
      <c r="B190" s="81">
        <v>45933</v>
      </c>
      <c r="C190" t="s">
        <v>12</v>
      </c>
      <c r="D190" t="s">
        <v>13</v>
      </c>
      <c r="E190" t="s">
        <v>31</v>
      </c>
      <c r="F190">
        <v>1</v>
      </c>
      <c r="G190">
        <v>610.22</v>
      </c>
      <c r="H190">
        <v>0.1</v>
      </c>
      <c r="I190">
        <v>549.20000000000005</v>
      </c>
      <c r="J190">
        <v>433.85</v>
      </c>
      <c r="K190">
        <v>115.35</v>
      </c>
    </row>
    <row r="191" spans="1:11" x14ac:dyDescent="0.3">
      <c r="A191" t="s">
        <v>215</v>
      </c>
      <c r="B191" s="81">
        <v>45984</v>
      </c>
      <c r="C191" t="s">
        <v>21</v>
      </c>
      <c r="D191" t="s">
        <v>13</v>
      </c>
      <c r="E191" t="s">
        <v>24</v>
      </c>
      <c r="F191">
        <v>7</v>
      </c>
      <c r="G191">
        <v>486.87</v>
      </c>
      <c r="H191">
        <v>0.2</v>
      </c>
      <c r="I191">
        <v>2726.49</v>
      </c>
      <c r="J191">
        <v>1929.09</v>
      </c>
      <c r="K191">
        <v>797.4</v>
      </c>
    </row>
    <row r="192" spans="1:11" x14ac:dyDescent="0.3">
      <c r="A192" t="s">
        <v>216</v>
      </c>
      <c r="B192" s="81">
        <v>45847</v>
      </c>
      <c r="C192" t="s">
        <v>21</v>
      </c>
      <c r="D192" t="s">
        <v>13</v>
      </c>
      <c r="E192" t="s">
        <v>29</v>
      </c>
      <c r="F192">
        <v>1</v>
      </c>
      <c r="G192">
        <v>729.71</v>
      </c>
      <c r="H192">
        <v>0</v>
      </c>
      <c r="I192">
        <v>729.71</v>
      </c>
      <c r="J192">
        <v>381.14</v>
      </c>
      <c r="K192">
        <v>348.57</v>
      </c>
    </row>
    <row r="193" spans="1:11" x14ac:dyDescent="0.3">
      <c r="A193" t="s">
        <v>217</v>
      </c>
      <c r="B193" s="81">
        <v>45939</v>
      </c>
      <c r="C193" t="s">
        <v>12</v>
      </c>
      <c r="D193" t="s">
        <v>33</v>
      </c>
      <c r="E193" t="s">
        <v>18</v>
      </c>
      <c r="F193">
        <v>2</v>
      </c>
      <c r="G193">
        <v>842.49</v>
      </c>
      <c r="H193">
        <v>0.15</v>
      </c>
      <c r="I193">
        <v>1432.23</v>
      </c>
      <c r="J193">
        <v>1086.23</v>
      </c>
      <c r="K193">
        <v>345.99</v>
      </c>
    </row>
    <row r="194" spans="1:11" x14ac:dyDescent="0.3">
      <c r="A194" t="s">
        <v>218</v>
      </c>
      <c r="B194" s="81">
        <v>45935</v>
      </c>
      <c r="C194" t="s">
        <v>12</v>
      </c>
      <c r="D194" t="s">
        <v>17</v>
      </c>
      <c r="E194" t="s">
        <v>18</v>
      </c>
      <c r="F194">
        <v>10</v>
      </c>
      <c r="G194">
        <v>581.79</v>
      </c>
      <c r="H194">
        <v>0.15</v>
      </c>
      <c r="I194">
        <v>4945.1899999999996</v>
      </c>
      <c r="J194">
        <v>3345.04</v>
      </c>
      <c r="K194">
        <v>1600.14</v>
      </c>
    </row>
    <row r="195" spans="1:11" x14ac:dyDescent="0.3">
      <c r="A195" t="s">
        <v>219</v>
      </c>
      <c r="B195" s="81">
        <v>46018</v>
      </c>
      <c r="C195" t="s">
        <v>12</v>
      </c>
      <c r="D195" t="s">
        <v>13</v>
      </c>
      <c r="E195" t="s">
        <v>31</v>
      </c>
      <c r="F195">
        <v>4</v>
      </c>
      <c r="G195">
        <v>270.75</v>
      </c>
      <c r="H195">
        <v>0.2</v>
      </c>
      <c r="I195">
        <v>866.42</v>
      </c>
      <c r="J195">
        <v>391.96</v>
      </c>
      <c r="K195">
        <v>474.46</v>
      </c>
    </row>
    <row r="196" spans="1:11" x14ac:dyDescent="0.3">
      <c r="A196" t="s">
        <v>220</v>
      </c>
      <c r="B196" s="81">
        <v>45759</v>
      </c>
      <c r="C196" t="s">
        <v>28</v>
      </c>
      <c r="D196" t="s">
        <v>13</v>
      </c>
      <c r="E196" t="s">
        <v>31</v>
      </c>
      <c r="F196">
        <v>4</v>
      </c>
      <c r="G196">
        <v>30.78</v>
      </c>
      <c r="H196">
        <v>0</v>
      </c>
      <c r="I196">
        <v>123.12</v>
      </c>
      <c r="J196">
        <v>55.5</v>
      </c>
      <c r="K196">
        <v>67.62</v>
      </c>
    </row>
    <row r="197" spans="1:11" x14ac:dyDescent="0.3">
      <c r="A197" t="s">
        <v>221</v>
      </c>
      <c r="B197" s="81">
        <v>46008</v>
      </c>
      <c r="C197" t="s">
        <v>12</v>
      </c>
      <c r="D197" t="s">
        <v>13</v>
      </c>
      <c r="E197" t="s">
        <v>31</v>
      </c>
      <c r="F197">
        <v>6</v>
      </c>
      <c r="G197">
        <v>694.31</v>
      </c>
      <c r="H197">
        <v>0.05</v>
      </c>
      <c r="I197">
        <v>3957.55</v>
      </c>
      <c r="J197">
        <v>3107.47</v>
      </c>
      <c r="K197">
        <v>850.09</v>
      </c>
    </row>
    <row r="198" spans="1:11" x14ac:dyDescent="0.3">
      <c r="A198" t="s">
        <v>222</v>
      </c>
      <c r="B198" s="81">
        <v>45995</v>
      </c>
      <c r="C198" t="s">
        <v>28</v>
      </c>
      <c r="D198" t="s">
        <v>13</v>
      </c>
      <c r="E198" t="s">
        <v>22</v>
      </c>
      <c r="F198">
        <v>4</v>
      </c>
      <c r="G198">
        <v>262.38</v>
      </c>
      <c r="H198">
        <v>0.05</v>
      </c>
      <c r="I198">
        <v>997.03</v>
      </c>
      <c r="J198">
        <v>692.15</v>
      </c>
      <c r="K198">
        <v>304.88</v>
      </c>
    </row>
    <row r="199" spans="1:11" x14ac:dyDescent="0.3">
      <c r="A199" t="s">
        <v>223</v>
      </c>
      <c r="B199" s="81">
        <v>45739</v>
      </c>
      <c r="C199" t="s">
        <v>21</v>
      </c>
      <c r="D199" t="s">
        <v>33</v>
      </c>
      <c r="E199" t="s">
        <v>18</v>
      </c>
      <c r="F199">
        <v>5</v>
      </c>
      <c r="G199">
        <v>526.58000000000004</v>
      </c>
      <c r="H199">
        <v>0.1</v>
      </c>
      <c r="I199">
        <v>2369.59</v>
      </c>
      <c r="J199">
        <v>1671.39</v>
      </c>
      <c r="K199">
        <v>698.21</v>
      </c>
    </row>
    <row r="200" spans="1:11" x14ac:dyDescent="0.3">
      <c r="A200" t="s">
        <v>224</v>
      </c>
      <c r="B200" s="81">
        <v>45934</v>
      </c>
      <c r="C200" t="s">
        <v>28</v>
      </c>
      <c r="D200" t="s">
        <v>17</v>
      </c>
      <c r="E200" t="s">
        <v>34</v>
      </c>
      <c r="F200">
        <v>2</v>
      </c>
      <c r="G200">
        <v>600.12</v>
      </c>
      <c r="H200">
        <v>0.05</v>
      </c>
      <c r="I200">
        <v>1140.23</v>
      </c>
      <c r="J200">
        <v>878.24</v>
      </c>
      <c r="K200">
        <v>261.99</v>
      </c>
    </row>
    <row r="201" spans="1:11" x14ac:dyDescent="0.3">
      <c r="A201" t="s">
        <v>225</v>
      </c>
      <c r="B201" s="81">
        <v>45662</v>
      </c>
      <c r="C201" t="s">
        <v>16</v>
      </c>
      <c r="D201" t="s">
        <v>13</v>
      </c>
      <c r="E201" t="s">
        <v>31</v>
      </c>
      <c r="F201">
        <v>3</v>
      </c>
      <c r="G201">
        <v>822.23</v>
      </c>
      <c r="H201">
        <v>0.2</v>
      </c>
      <c r="I201">
        <v>1973.36</v>
      </c>
      <c r="J201">
        <v>1434.12</v>
      </c>
      <c r="K201">
        <v>539.23</v>
      </c>
    </row>
    <row r="202" spans="1:11" x14ac:dyDescent="0.3">
      <c r="A202" t="s">
        <v>226</v>
      </c>
      <c r="B202" s="81">
        <v>45961</v>
      </c>
      <c r="C202" t="s">
        <v>12</v>
      </c>
      <c r="D202" t="s">
        <v>13</v>
      </c>
      <c r="E202" t="s">
        <v>24</v>
      </c>
      <c r="F202">
        <v>3</v>
      </c>
      <c r="G202">
        <v>682.9</v>
      </c>
      <c r="H202">
        <v>0.1</v>
      </c>
      <c r="I202">
        <v>1843.83</v>
      </c>
      <c r="J202">
        <v>1333.27</v>
      </c>
      <c r="K202">
        <v>510.56</v>
      </c>
    </row>
    <row r="203" spans="1:11" x14ac:dyDescent="0.3">
      <c r="A203" t="s">
        <v>227</v>
      </c>
      <c r="B203" s="81">
        <v>45982</v>
      </c>
      <c r="C203" t="s">
        <v>21</v>
      </c>
      <c r="D203" t="s">
        <v>13</v>
      </c>
      <c r="E203" t="s">
        <v>14</v>
      </c>
      <c r="F203">
        <v>4</v>
      </c>
      <c r="G203">
        <v>804.52</v>
      </c>
      <c r="H203">
        <v>0</v>
      </c>
      <c r="I203">
        <v>3218.06</v>
      </c>
      <c r="J203">
        <v>1658.38</v>
      </c>
      <c r="K203">
        <v>1559.69</v>
      </c>
    </row>
    <row r="204" spans="1:11" x14ac:dyDescent="0.3">
      <c r="A204" t="s">
        <v>228</v>
      </c>
      <c r="B204" s="81">
        <v>45794</v>
      </c>
      <c r="C204" t="s">
        <v>16</v>
      </c>
      <c r="D204" t="s">
        <v>13</v>
      </c>
      <c r="E204" t="s">
        <v>24</v>
      </c>
      <c r="F204">
        <v>11</v>
      </c>
      <c r="G204">
        <v>252.33</v>
      </c>
      <c r="H204">
        <v>0.15</v>
      </c>
      <c r="I204">
        <v>2359.2399999999998</v>
      </c>
      <c r="J204">
        <v>1218.7</v>
      </c>
      <c r="K204">
        <v>1140.55</v>
      </c>
    </row>
    <row r="205" spans="1:11" x14ac:dyDescent="0.3">
      <c r="A205" t="s">
        <v>229</v>
      </c>
      <c r="B205" s="81">
        <v>45893</v>
      </c>
      <c r="C205" t="s">
        <v>28</v>
      </c>
      <c r="D205" t="s">
        <v>13</v>
      </c>
      <c r="E205" t="s">
        <v>22</v>
      </c>
      <c r="F205">
        <v>4</v>
      </c>
      <c r="G205">
        <v>482.35</v>
      </c>
      <c r="H205">
        <v>0</v>
      </c>
      <c r="I205">
        <v>1929.39</v>
      </c>
      <c r="J205">
        <v>1480.61</v>
      </c>
      <c r="K205">
        <v>448.78</v>
      </c>
    </row>
    <row r="206" spans="1:11" x14ac:dyDescent="0.3">
      <c r="A206" t="s">
        <v>230</v>
      </c>
      <c r="B206" s="81">
        <v>46001</v>
      </c>
      <c r="C206" t="s">
        <v>28</v>
      </c>
      <c r="D206" t="s">
        <v>33</v>
      </c>
      <c r="E206" t="s">
        <v>31</v>
      </c>
      <c r="F206">
        <v>4</v>
      </c>
      <c r="G206">
        <v>854.56</v>
      </c>
      <c r="H206">
        <v>0</v>
      </c>
      <c r="I206">
        <v>3418.23</v>
      </c>
      <c r="J206">
        <v>1712.63</v>
      </c>
      <c r="K206">
        <v>1705.6</v>
      </c>
    </row>
    <row r="207" spans="1:11" x14ac:dyDescent="0.3">
      <c r="A207" t="s">
        <v>231</v>
      </c>
      <c r="B207" s="81">
        <v>45684</v>
      </c>
      <c r="C207" t="s">
        <v>12</v>
      </c>
      <c r="D207" t="s">
        <v>17</v>
      </c>
      <c r="E207" t="s">
        <v>26</v>
      </c>
      <c r="F207">
        <v>3</v>
      </c>
      <c r="G207">
        <v>480.53</v>
      </c>
      <c r="H207">
        <v>0</v>
      </c>
      <c r="I207">
        <v>1441.59</v>
      </c>
      <c r="J207">
        <v>811</v>
      </c>
      <c r="K207">
        <v>630.6</v>
      </c>
    </row>
    <row r="208" spans="1:11" x14ac:dyDescent="0.3">
      <c r="A208" t="s">
        <v>232</v>
      </c>
      <c r="B208" s="81">
        <v>45882</v>
      </c>
      <c r="C208" t="s">
        <v>16</v>
      </c>
      <c r="D208" t="s">
        <v>33</v>
      </c>
      <c r="E208" t="s">
        <v>31</v>
      </c>
      <c r="F208">
        <v>2</v>
      </c>
      <c r="G208">
        <v>888.18</v>
      </c>
      <c r="H208">
        <v>0.05</v>
      </c>
      <c r="I208">
        <v>1687.54</v>
      </c>
      <c r="J208">
        <v>885.97</v>
      </c>
      <c r="K208">
        <v>801.57</v>
      </c>
    </row>
    <row r="209" spans="1:11" x14ac:dyDescent="0.3">
      <c r="A209" t="s">
        <v>233</v>
      </c>
      <c r="B209" s="81">
        <v>45741</v>
      </c>
      <c r="C209" t="s">
        <v>28</v>
      </c>
      <c r="D209" t="s">
        <v>13</v>
      </c>
      <c r="E209" t="s">
        <v>18</v>
      </c>
      <c r="F209">
        <v>1</v>
      </c>
      <c r="G209">
        <v>245.45</v>
      </c>
      <c r="H209">
        <v>0.1</v>
      </c>
      <c r="I209">
        <v>220.91</v>
      </c>
      <c r="J209">
        <v>140.19999999999999</v>
      </c>
      <c r="K209">
        <v>80.709999999999994</v>
      </c>
    </row>
    <row r="210" spans="1:11" x14ac:dyDescent="0.3">
      <c r="A210" t="s">
        <v>234</v>
      </c>
      <c r="B210" s="81">
        <v>45739</v>
      </c>
      <c r="C210" t="s">
        <v>21</v>
      </c>
      <c r="D210" t="s">
        <v>17</v>
      </c>
      <c r="E210" t="s">
        <v>26</v>
      </c>
      <c r="F210">
        <v>8</v>
      </c>
      <c r="G210">
        <v>683.47</v>
      </c>
      <c r="H210">
        <v>0.15</v>
      </c>
      <c r="I210">
        <v>4647.6099999999997</v>
      </c>
      <c r="J210">
        <v>2232.34</v>
      </c>
      <c r="K210">
        <v>2415.27</v>
      </c>
    </row>
    <row r="211" spans="1:11" x14ac:dyDescent="0.3">
      <c r="A211" t="s">
        <v>235</v>
      </c>
      <c r="B211" s="81">
        <v>45838</v>
      </c>
      <c r="C211" t="s">
        <v>21</v>
      </c>
      <c r="D211" t="s">
        <v>17</v>
      </c>
      <c r="E211" t="s">
        <v>29</v>
      </c>
      <c r="F211">
        <v>10</v>
      </c>
      <c r="G211">
        <v>245.29</v>
      </c>
      <c r="H211">
        <v>0.1</v>
      </c>
      <c r="I211">
        <v>2207.6</v>
      </c>
      <c r="J211">
        <v>1010.18</v>
      </c>
      <c r="K211">
        <v>1197.42</v>
      </c>
    </row>
    <row r="212" spans="1:11" x14ac:dyDescent="0.3">
      <c r="A212" t="s">
        <v>236</v>
      </c>
      <c r="B212" s="81">
        <v>45722</v>
      </c>
      <c r="C212" t="s">
        <v>12</v>
      </c>
      <c r="D212" t="s">
        <v>33</v>
      </c>
      <c r="E212" t="s">
        <v>14</v>
      </c>
      <c r="F212">
        <v>10</v>
      </c>
      <c r="G212">
        <v>487.21</v>
      </c>
      <c r="H212">
        <v>0.1</v>
      </c>
      <c r="I212">
        <v>4384.88</v>
      </c>
      <c r="J212">
        <v>2165.1999999999998</v>
      </c>
      <c r="K212">
        <v>2219.67</v>
      </c>
    </row>
    <row r="213" spans="1:11" x14ac:dyDescent="0.3">
      <c r="A213" t="s">
        <v>237</v>
      </c>
      <c r="B213" s="81">
        <v>45992</v>
      </c>
      <c r="C213" t="s">
        <v>21</v>
      </c>
      <c r="D213" t="s">
        <v>33</v>
      </c>
      <c r="E213" t="s">
        <v>14</v>
      </c>
      <c r="F213">
        <v>11</v>
      </c>
      <c r="G213">
        <v>780.78</v>
      </c>
      <c r="H213">
        <v>0</v>
      </c>
      <c r="I213">
        <v>8588.56</v>
      </c>
      <c r="J213">
        <v>5344.53</v>
      </c>
      <c r="K213">
        <v>3244.02</v>
      </c>
    </row>
    <row r="214" spans="1:11" x14ac:dyDescent="0.3">
      <c r="A214" t="s">
        <v>238</v>
      </c>
      <c r="B214" s="81">
        <v>45996</v>
      </c>
      <c r="C214" t="s">
        <v>21</v>
      </c>
      <c r="D214" t="s">
        <v>13</v>
      </c>
      <c r="E214" t="s">
        <v>24</v>
      </c>
      <c r="F214">
        <v>11</v>
      </c>
      <c r="G214">
        <v>25.29</v>
      </c>
      <c r="H214">
        <v>0.05</v>
      </c>
      <c r="I214">
        <v>264.31</v>
      </c>
      <c r="J214">
        <v>138.58000000000001</v>
      </c>
      <c r="K214">
        <v>125.73</v>
      </c>
    </row>
    <row r="215" spans="1:11" x14ac:dyDescent="0.3">
      <c r="A215" t="s">
        <v>239</v>
      </c>
      <c r="B215" s="81">
        <v>45805</v>
      </c>
      <c r="C215" t="s">
        <v>28</v>
      </c>
      <c r="D215" t="s">
        <v>33</v>
      </c>
      <c r="E215" t="s">
        <v>24</v>
      </c>
      <c r="F215">
        <v>6</v>
      </c>
      <c r="G215">
        <v>384.4</v>
      </c>
      <c r="H215">
        <v>0.2</v>
      </c>
      <c r="I215">
        <v>1845.11</v>
      </c>
      <c r="J215">
        <v>943.43</v>
      </c>
      <c r="K215">
        <v>901.69</v>
      </c>
    </row>
    <row r="216" spans="1:11" x14ac:dyDescent="0.3">
      <c r="A216" t="s">
        <v>240</v>
      </c>
      <c r="B216" s="81">
        <v>45904</v>
      </c>
      <c r="C216" t="s">
        <v>28</v>
      </c>
      <c r="D216" t="s">
        <v>17</v>
      </c>
      <c r="E216" t="s">
        <v>18</v>
      </c>
      <c r="F216">
        <v>11</v>
      </c>
      <c r="G216">
        <v>204.33</v>
      </c>
      <c r="H216">
        <v>0.05</v>
      </c>
      <c r="I216">
        <v>2135.1999999999998</v>
      </c>
      <c r="J216">
        <v>1392.6</v>
      </c>
      <c r="K216">
        <v>742.6</v>
      </c>
    </row>
    <row r="217" spans="1:11" x14ac:dyDescent="0.3">
      <c r="A217" t="s">
        <v>241</v>
      </c>
      <c r="B217" s="81">
        <v>45820</v>
      </c>
      <c r="C217" t="s">
        <v>12</v>
      </c>
      <c r="D217" t="s">
        <v>17</v>
      </c>
      <c r="E217" t="s">
        <v>26</v>
      </c>
      <c r="F217">
        <v>10</v>
      </c>
      <c r="G217">
        <v>873.52</v>
      </c>
      <c r="H217">
        <v>0.15</v>
      </c>
      <c r="I217">
        <v>7424.91</v>
      </c>
      <c r="J217">
        <v>4025.81</v>
      </c>
      <c r="K217">
        <v>3399.1</v>
      </c>
    </row>
    <row r="218" spans="1:11" x14ac:dyDescent="0.3">
      <c r="A218" t="s">
        <v>242</v>
      </c>
      <c r="B218" s="81">
        <v>45972</v>
      </c>
      <c r="C218" t="s">
        <v>16</v>
      </c>
      <c r="D218" t="s">
        <v>13</v>
      </c>
      <c r="E218" t="s">
        <v>31</v>
      </c>
      <c r="F218">
        <v>10</v>
      </c>
      <c r="G218">
        <v>225.94</v>
      </c>
      <c r="H218">
        <v>0.1</v>
      </c>
      <c r="I218">
        <v>2033.49</v>
      </c>
      <c r="J218">
        <v>934.73</v>
      </c>
      <c r="K218">
        <v>1098.76</v>
      </c>
    </row>
    <row r="219" spans="1:11" x14ac:dyDescent="0.3">
      <c r="A219" t="s">
        <v>243</v>
      </c>
      <c r="B219" s="81">
        <v>45749</v>
      </c>
      <c r="C219" t="s">
        <v>12</v>
      </c>
      <c r="D219" t="s">
        <v>17</v>
      </c>
      <c r="E219" t="s">
        <v>34</v>
      </c>
      <c r="F219">
        <v>7</v>
      </c>
      <c r="G219">
        <v>785.55</v>
      </c>
      <c r="H219">
        <v>0</v>
      </c>
      <c r="I219">
        <v>5498.88</v>
      </c>
      <c r="J219">
        <v>3544.46</v>
      </c>
      <c r="K219">
        <v>1954.42</v>
      </c>
    </row>
    <row r="220" spans="1:11" x14ac:dyDescent="0.3">
      <c r="A220" t="s">
        <v>244</v>
      </c>
      <c r="B220" s="81">
        <v>46008</v>
      </c>
      <c r="C220" t="s">
        <v>21</v>
      </c>
      <c r="D220" t="s">
        <v>33</v>
      </c>
      <c r="E220" t="s">
        <v>18</v>
      </c>
      <c r="F220">
        <v>6</v>
      </c>
      <c r="G220">
        <v>870.94</v>
      </c>
      <c r="H220">
        <v>0</v>
      </c>
      <c r="I220">
        <v>5225.63</v>
      </c>
      <c r="J220">
        <v>3791.89</v>
      </c>
      <c r="K220">
        <v>1433.74</v>
      </c>
    </row>
    <row r="221" spans="1:11" x14ac:dyDescent="0.3">
      <c r="A221" t="s">
        <v>245</v>
      </c>
      <c r="B221" s="81">
        <v>45987</v>
      </c>
      <c r="C221" t="s">
        <v>16</v>
      </c>
      <c r="D221" t="s">
        <v>13</v>
      </c>
      <c r="E221" t="s">
        <v>14</v>
      </c>
      <c r="F221">
        <v>8</v>
      </c>
      <c r="G221">
        <v>544.45000000000005</v>
      </c>
      <c r="H221">
        <v>0</v>
      </c>
      <c r="I221">
        <v>4355.63</v>
      </c>
      <c r="J221">
        <v>2294.09</v>
      </c>
      <c r="K221">
        <v>2061.54</v>
      </c>
    </row>
    <row r="222" spans="1:11" x14ac:dyDescent="0.3">
      <c r="A222" t="s">
        <v>246</v>
      </c>
      <c r="B222" s="81">
        <v>45970</v>
      </c>
      <c r="C222" t="s">
        <v>12</v>
      </c>
      <c r="D222" t="s">
        <v>17</v>
      </c>
      <c r="E222" t="s">
        <v>31</v>
      </c>
      <c r="F222">
        <v>9</v>
      </c>
      <c r="G222">
        <v>756.98</v>
      </c>
      <c r="H222">
        <v>0.05</v>
      </c>
      <c r="I222">
        <v>6472.17</v>
      </c>
      <c r="J222">
        <v>3156.73</v>
      </c>
      <c r="K222">
        <v>3315.43</v>
      </c>
    </row>
    <row r="223" spans="1:11" x14ac:dyDescent="0.3">
      <c r="A223" t="s">
        <v>247</v>
      </c>
      <c r="B223" s="81">
        <v>45827</v>
      </c>
      <c r="C223" t="s">
        <v>12</v>
      </c>
      <c r="D223" t="s">
        <v>33</v>
      </c>
      <c r="E223" t="s">
        <v>22</v>
      </c>
      <c r="F223">
        <v>11</v>
      </c>
      <c r="G223">
        <v>731.39</v>
      </c>
      <c r="H223">
        <v>0.1</v>
      </c>
      <c r="I223">
        <v>7240.75</v>
      </c>
      <c r="J223">
        <v>5562.07</v>
      </c>
      <c r="K223">
        <v>1678.69</v>
      </c>
    </row>
    <row r="224" spans="1:11" x14ac:dyDescent="0.3">
      <c r="A224" t="s">
        <v>248</v>
      </c>
      <c r="B224" s="81">
        <v>45756</v>
      </c>
      <c r="C224" t="s">
        <v>21</v>
      </c>
      <c r="D224" t="s">
        <v>17</v>
      </c>
      <c r="E224" t="s">
        <v>14</v>
      </c>
      <c r="F224">
        <v>9</v>
      </c>
      <c r="G224">
        <v>203.84</v>
      </c>
      <c r="H224">
        <v>0</v>
      </c>
      <c r="I224">
        <v>1834.57</v>
      </c>
      <c r="J224">
        <v>929.31</v>
      </c>
      <c r="K224">
        <v>905.26</v>
      </c>
    </row>
    <row r="225" spans="1:11" x14ac:dyDescent="0.3">
      <c r="A225" t="s">
        <v>249</v>
      </c>
      <c r="B225" s="81">
        <v>45834</v>
      </c>
      <c r="C225" t="s">
        <v>21</v>
      </c>
      <c r="D225" t="s">
        <v>33</v>
      </c>
      <c r="E225" t="s">
        <v>14</v>
      </c>
      <c r="F225">
        <v>4</v>
      </c>
      <c r="G225">
        <v>612.72</v>
      </c>
      <c r="H225">
        <v>0.15</v>
      </c>
      <c r="I225">
        <v>2083.2600000000002</v>
      </c>
      <c r="J225">
        <v>1255.44</v>
      </c>
      <c r="K225">
        <v>827.81</v>
      </c>
    </row>
    <row r="226" spans="1:11" x14ac:dyDescent="0.3">
      <c r="A226" t="s">
        <v>250</v>
      </c>
      <c r="B226" s="81">
        <v>45949</v>
      </c>
      <c r="C226" t="s">
        <v>28</v>
      </c>
      <c r="D226" t="s">
        <v>33</v>
      </c>
      <c r="E226" t="s">
        <v>29</v>
      </c>
      <c r="F226">
        <v>3</v>
      </c>
      <c r="G226">
        <v>477.64</v>
      </c>
      <c r="H226">
        <v>0</v>
      </c>
      <c r="I226">
        <v>1432.92</v>
      </c>
      <c r="J226">
        <v>900.25</v>
      </c>
      <c r="K226">
        <v>532.66999999999996</v>
      </c>
    </row>
    <row r="227" spans="1:11" x14ac:dyDescent="0.3">
      <c r="A227" t="s">
        <v>251</v>
      </c>
      <c r="B227" s="81">
        <v>45942</v>
      </c>
      <c r="C227" t="s">
        <v>21</v>
      </c>
      <c r="D227" t="s">
        <v>13</v>
      </c>
      <c r="E227" t="s">
        <v>26</v>
      </c>
      <c r="F227">
        <v>2</v>
      </c>
      <c r="G227">
        <v>859.15</v>
      </c>
      <c r="H227">
        <v>0.15</v>
      </c>
      <c r="I227">
        <v>1460.55</v>
      </c>
      <c r="J227">
        <v>1098.44</v>
      </c>
      <c r="K227">
        <v>362.11</v>
      </c>
    </row>
    <row r="228" spans="1:11" x14ac:dyDescent="0.3">
      <c r="A228" t="s">
        <v>252</v>
      </c>
      <c r="B228" s="81">
        <v>46002</v>
      </c>
      <c r="C228" t="s">
        <v>12</v>
      </c>
      <c r="D228" t="s">
        <v>33</v>
      </c>
      <c r="E228" t="s">
        <v>24</v>
      </c>
      <c r="F228">
        <v>9</v>
      </c>
      <c r="G228">
        <v>384.67</v>
      </c>
      <c r="H228">
        <v>0.05</v>
      </c>
      <c r="I228">
        <v>3288.9</v>
      </c>
      <c r="J228">
        <v>1815.77</v>
      </c>
      <c r="K228">
        <v>1473.13</v>
      </c>
    </row>
    <row r="229" spans="1:11" x14ac:dyDescent="0.3">
      <c r="A229" t="s">
        <v>253</v>
      </c>
      <c r="B229" s="81">
        <v>45820</v>
      </c>
      <c r="C229" t="s">
        <v>21</v>
      </c>
      <c r="D229" t="s">
        <v>13</v>
      </c>
      <c r="E229" t="s">
        <v>14</v>
      </c>
      <c r="F229">
        <v>2</v>
      </c>
      <c r="G229">
        <v>641</v>
      </c>
      <c r="H229">
        <v>0.05</v>
      </c>
      <c r="I229">
        <v>1217.9000000000001</v>
      </c>
      <c r="J229">
        <v>956.93</v>
      </c>
      <c r="K229">
        <v>260.97000000000003</v>
      </c>
    </row>
    <row r="230" spans="1:11" x14ac:dyDescent="0.3">
      <c r="A230" t="s">
        <v>254</v>
      </c>
      <c r="B230" s="81">
        <v>45847</v>
      </c>
      <c r="C230" t="s">
        <v>16</v>
      </c>
      <c r="D230" t="s">
        <v>13</v>
      </c>
      <c r="E230" t="s">
        <v>29</v>
      </c>
      <c r="F230">
        <v>10</v>
      </c>
      <c r="G230">
        <v>73.11</v>
      </c>
      <c r="H230">
        <v>0.1</v>
      </c>
      <c r="I230">
        <v>658.02</v>
      </c>
      <c r="J230">
        <v>436.65</v>
      </c>
      <c r="K230">
        <v>221.36</v>
      </c>
    </row>
    <row r="231" spans="1:11" x14ac:dyDescent="0.3">
      <c r="A231" t="s">
        <v>255</v>
      </c>
      <c r="B231" s="81">
        <v>45838</v>
      </c>
      <c r="C231" t="s">
        <v>12</v>
      </c>
      <c r="D231" t="s">
        <v>33</v>
      </c>
      <c r="E231" t="s">
        <v>18</v>
      </c>
      <c r="F231">
        <v>5</v>
      </c>
      <c r="G231">
        <v>258.64999999999998</v>
      </c>
      <c r="H231">
        <v>0</v>
      </c>
      <c r="I231">
        <v>1293.23</v>
      </c>
      <c r="J231">
        <v>899.12</v>
      </c>
      <c r="K231">
        <v>394.11</v>
      </c>
    </row>
    <row r="232" spans="1:11" x14ac:dyDescent="0.3">
      <c r="A232" t="s">
        <v>256</v>
      </c>
      <c r="B232" s="81">
        <v>45972</v>
      </c>
      <c r="C232" t="s">
        <v>21</v>
      </c>
      <c r="D232" t="s">
        <v>13</v>
      </c>
      <c r="E232" t="s">
        <v>18</v>
      </c>
      <c r="F232">
        <v>8</v>
      </c>
      <c r="G232">
        <v>183.49</v>
      </c>
      <c r="H232">
        <v>0.15</v>
      </c>
      <c r="I232">
        <v>1247.72</v>
      </c>
      <c r="J232">
        <v>802.31</v>
      </c>
      <c r="K232">
        <v>445.41</v>
      </c>
    </row>
    <row r="233" spans="1:11" x14ac:dyDescent="0.3">
      <c r="A233" t="s">
        <v>257</v>
      </c>
      <c r="B233" s="81">
        <v>45739</v>
      </c>
      <c r="C233" t="s">
        <v>16</v>
      </c>
      <c r="D233" t="s">
        <v>33</v>
      </c>
      <c r="E233" t="s">
        <v>34</v>
      </c>
      <c r="F233">
        <v>9</v>
      </c>
      <c r="G233">
        <v>486.9</v>
      </c>
      <c r="H233">
        <v>0.15</v>
      </c>
      <c r="I233">
        <v>3724.8</v>
      </c>
      <c r="J233">
        <v>1721.76</v>
      </c>
      <c r="K233">
        <v>2003.05</v>
      </c>
    </row>
    <row r="234" spans="1:11" x14ac:dyDescent="0.3">
      <c r="A234" t="s">
        <v>258</v>
      </c>
      <c r="B234" s="81">
        <v>45698</v>
      </c>
      <c r="C234" t="s">
        <v>16</v>
      </c>
      <c r="D234" t="s">
        <v>13</v>
      </c>
      <c r="E234" t="s">
        <v>24</v>
      </c>
      <c r="F234">
        <v>9</v>
      </c>
      <c r="G234">
        <v>734.16</v>
      </c>
      <c r="H234">
        <v>0.15</v>
      </c>
      <c r="I234">
        <v>5616.31</v>
      </c>
      <c r="J234">
        <v>4061.38</v>
      </c>
      <c r="K234">
        <v>1554.93</v>
      </c>
    </row>
    <row r="235" spans="1:11" x14ac:dyDescent="0.3">
      <c r="A235" t="s">
        <v>259</v>
      </c>
      <c r="B235" s="81">
        <v>45922</v>
      </c>
      <c r="C235" t="s">
        <v>16</v>
      </c>
      <c r="D235" t="s">
        <v>33</v>
      </c>
      <c r="E235" t="s">
        <v>26</v>
      </c>
      <c r="F235">
        <v>6</v>
      </c>
      <c r="G235">
        <v>248.41</v>
      </c>
      <c r="H235">
        <v>0.05</v>
      </c>
      <c r="I235">
        <v>1415.93</v>
      </c>
      <c r="J235">
        <v>1012.49</v>
      </c>
      <c r="K235">
        <v>403.45</v>
      </c>
    </row>
    <row r="236" spans="1:11" x14ac:dyDescent="0.3">
      <c r="A236" t="s">
        <v>260</v>
      </c>
      <c r="B236" s="81">
        <v>45901</v>
      </c>
      <c r="C236" t="s">
        <v>16</v>
      </c>
      <c r="D236" t="s">
        <v>33</v>
      </c>
      <c r="E236" t="s">
        <v>22</v>
      </c>
      <c r="F236">
        <v>11</v>
      </c>
      <c r="G236">
        <v>595.21</v>
      </c>
      <c r="H236">
        <v>0</v>
      </c>
      <c r="I236">
        <v>6547.33</v>
      </c>
      <c r="J236">
        <v>3760.66</v>
      </c>
      <c r="K236">
        <v>2786.67</v>
      </c>
    </row>
    <row r="237" spans="1:11" x14ac:dyDescent="0.3">
      <c r="A237" t="s">
        <v>261</v>
      </c>
      <c r="B237" s="81">
        <v>45675</v>
      </c>
      <c r="C237" t="s">
        <v>28</v>
      </c>
      <c r="D237" t="s">
        <v>17</v>
      </c>
      <c r="E237" t="s">
        <v>14</v>
      </c>
      <c r="F237">
        <v>3</v>
      </c>
      <c r="G237">
        <v>57.93</v>
      </c>
      <c r="H237">
        <v>0.05</v>
      </c>
      <c r="I237">
        <v>165.09</v>
      </c>
      <c r="J237">
        <v>128.19999999999999</v>
      </c>
      <c r="K237">
        <v>36.880000000000003</v>
      </c>
    </row>
    <row r="238" spans="1:11" x14ac:dyDescent="0.3">
      <c r="A238" t="s">
        <v>262</v>
      </c>
      <c r="B238" s="81">
        <v>45760</v>
      </c>
      <c r="C238" t="s">
        <v>21</v>
      </c>
      <c r="D238" t="s">
        <v>17</v>
      </c>
      <c r="E238" t="s">
        <v>31</v>
      </c>
      <c r="F238">
        <v>8</v>
      </c>
      <c r="G238">
        <v>592.72</v>
      </c>
      <c r="H238">
        <v>0.05</v>
      </c>
      <c r="I238">
        <v>4504.67</v>
      </c>
      <c r="J238">
        <v>2171.27</v>
      </c>
      <c r="K238">
        <v>2333.4</v>
      </c>
    </row>
    <row r="239" spans="1:11" x14ac:dyDescent="0.3">
      <c r="A239" t="s">
        <v>263</v>
      </c>
      <c r="B239" s="81">
        <v>46000</v>
      </c>
      <c r="C239" t="s">
        <v>16</v>
      </c>
      <c r="D239" t="s">
        <v>17</v>
      </c>
      <c r="E239" t="s">
        <v>34</v>
      </c>
      <c r="F239">
        <v>4</v>
      </c>
      <c r="G239">
        <v>333.5</v>
      </c>
      <c r="H239">
        <v>0.1</v>
      </c>
      <c r="I239">
        <v>1200.6199999999999</v>
      </c>
      <c r="J239">
        <v>758.53</v>
      </c>
      <c r="K239">
        <v>442.09</v>
      </c>
    </row>
    <row r="240" spans="1:11" x14ac:dyDescent="0.3">
      <c r="A240" t="s">
        <v>264</v>
      </c>
      <c r="B240" s="81">
        <v>45939</v>
      </c>
      <c r="C240" t="s">
        <v>28</v>
      </c>
      <c r="D240" t="s">
        <v>17</v>
      </c>
      <c r="E240" t="s">
        <v>29</v>
      </c>
      <c r="F240">
        <v>2</v>
      </c>
      <c r="G240">
        <v>610.98</v>
      </c>
      <c r="H240">
        <v>0.2</v>
      </c>
      <c r="I240">
        <v>977.57</v>
      </c>
      <c r="J240">
        <v>516.79</v>
      </c>
      <c r="K240">
        <v>460.77</v>
      </c>
    </row>
    <row r="241" spans="1:11" x14ac:dyDescent="0.3">
      <c r="A241" t="s">
        <v>265</v>
      </c>
      <c r="B241" s="81">
        <v>45674</v>
      </c>
      <c r="C241" t="s">
        <v>21</v>
      </c>
      <c r="D241" t="s">
        <v>17</v>
      </c>
      <c r="E241" t="s">
        <v>29</v>
      </c>
      <c r="F241">
        <v>8</v>
      </c>
      <c r="G241">
        <v>844.89</v>
      </c>
      <c r="H241">
        <v>0.1</v>
      </c>
      <c r="I241">
        <v>6083.21</v>
      </c>
      <c r="J241">
        <v>2874.16</v>
      </c>
      <c r="K241">
        <v>3209.05</v>
      </c>
    </row>
    <row r="242" spans="1:11" x14ac:dyDescent="0.3">
      <c r="A242" t="s">
        <v>266</v>
      </c>
      <c r="B242" s="81">
        <v>45682</v>
      </c>
      <c r="C242" t="s">
        <v>28</v>
      </c>
      <c r="D242" t="s">
        <v>17</v>
      </c>
      <c r="E242" t="s">
        <v>31</v>
      </c>
      <c r="F242">
        <v>11</v>
      </c>
      <c r="G242">
        <v>652.41</v>
      </c>
      <c r="H242">
        <v>0.1</v>
      </c>
      <c r="I242">
        <v>6458.85</v>
      </c>
      <c r="J242">
        <v>4468.78</v>
      </c>
      <c r="K242">
        <v>1990.07</v>
      </c>
    </row>
    <row r="243" spans="1:11" x14ac:dyDescent="0.3">
      <c r="A243" t="s">
        <v>267</v>
      </c>
      <c r="B243" s="81">
        <v>45865</v>
      </c>
      <c r="C243" t="s">
        <v>28</v>
      </c>
      <c r="D243" t="s">
        <v>13</v>
      </c>
      <c r="E243" t="s">
        <v>26</v>
      </c>
      <c r="F243">
        <v>2</v>
      </c>
      <c r="G243">
        <v>201.26</v>
      </c>
      <c r="H243">
        <v>0.15</v>
      </c>
      <c r="I243">
        <v>342.14</v>
      </c>
      <c r="J243">
        <v>268.25</v>
      </c>
      <c r="K243">
        <v>73.89</v>
      </c>
    </row>
    <row r="244" spans="1:11" x14ac:dyDescent="0.3">
      <c r="A244" t="s">
        <v>268</v>
      </c>
      <c r="B244" s="81">
        <v>45798</v>
      </c>
      <c r="C244" t="s">
        <v>16</v>
      </c>
      <c r="D244" t="s">
        <v>33</v>
      </c>
      <c r="E244" t="s">
        <v>18</v>
      </c>
      <c r="F244">
        <v>5</v>
      </c>
      <c r="G244">
        <v>715.85</v>
      </c>
      <c r="H244">
        <v>0.1</v>
      </c>
      <c r="I244">
        <v>3221.34</v>
      </c>
      <c r="J244">
        <v>2227.4</v>
      </c>
      <c r="K244">
        <v>993.94</v>
      </c>
    </row>
    <row r="245" spans="1:11" x14ac:dyDescent="0.3">
      <c r="A245" t="s">
        <v>269</v>
      </c>
      <c r="B245" s="81">
        <v>45905</v>
      </c>
      <c r="C245" t="s">
        <v>16</v>
      </c>
      <c r="D245" t="s">
        <v>13</v>
      </c>
      <c r="E245" t="s">
        <v>26</v>
      </c>
      <c r="F245">
        <v>10</v>
      </c>
      <c r="G245">
        <v>515.72</v>
      </c>
      <c r="H245">
        <v>0.05</v>
      </c>
      <c r="I245">
        <v>4899.3500000000004</v>
      </c>
      <c r="J245">
        <v>2218.0100000000002</v>
      </c>
      <c r="K245">
        <v>2681.33</v>
      </c>
    </row>
    <row r="246" spans="1:11" x14ac:dyDescent="0.3">
      <c r="A246" t="s">
        <v>270</v>
      </c>
      <c r="B246" s="81">
        <v>45662</v>
      </c>
      <c r="C246" t="s">
        <v>28</v>
      </c>
      <c r="D246" t="s">
        <v>33</v>
      </c>
      <c r="E246" t="s">
        <v>14</v>
      </c>
      <c r="F246">
        <v>5</v>
      </c>
      <c r="G246">
        <v>735.14</v>
      </c>
      <c r="H246">
        <v>0</v>
      </c>
      <c r="I246">
        <v>3675.69</v>
      </c>
      <c r="J246">
        <v>2503.62</v>
      </c>
      <c r="K246">
        <v>1172.07</v>
      </c>
    </row>
    <row r="247" spans="1:11" x14ac:dyDescent="0.3">
      <c r="A247" t="s">
        <v>271</v>
      </c>
      <c r="B247" s="81">
        <v>45944</v>
      </c>
      <c r="C247" t="s">
        <v>21</v>
      </c>
      <c r="D247" t="s">
        <v>33</v>
      </c>
      <c r="E247" t="s">
        <v>14</v>
      </c>
      <c r="F247">
        <v>7</v>
      </c>
      <c r="G247">
        <v>745.73</v>
      </c>
      <c r="H247">
        <v>0</v>
      </c>
      <c r="I247">
        <v>5220.1400000000003</v>
      </c>
      <c r="J247">
        <v>3583.78</v>
      </c>
      <c r="K247">
        <v>1636.36</v>
      </c>
    </row>
    <row r="248" spans="1:11" x14ac:dyDescent="0.3">
      <c r="A248" t="s">
        <v>272</v>
      </c>
      <c r="B248" s="81">
        <v>45689</v>
      </c>
      <c r="C248" t="s">
        <v>28</v>
      </c>
      <c r="D248" t="s">
        <v>33</v>
      </c>
      <c r="E248" t="s">
        <v>34</v>
      </c>
      <c r="F248">
        <v>2</v>
      </c>
      <c r="G248">
        <v>551.41999999999996</v>
      </c>
      <c r="H248">
        <v>0.05</v>
      </c>
      <c r="I248">
        <v>1047.7</v>
      </c>
      <c r="J248">
        <v>659.2</v>
      </c>
      <c r="K248">
        <v>388.51</v>
      </c>
    </row>
    <row r="249" spans="1:11" x14ac:dyDescent="0.3">
      <c r="A249" t="s">
        <v>273</v>
      </c>
      <c r="B249" s="81">
        <v>45686</v>
      </c>
      <c r="C249" t="s">
        <v>21</v>
      </c>
      <c r="D249" t="s">
        <v>17</v>
      </c>
      <c r="E249" t="s">
        <v>26</v>
      </c>
      <c r="F249">
        <v>5</v>
      </c>
      <c r="G249">
        <v>559.91</v>
      </c>
      <c r="H249">
        <v>0.05</v>
      </c>
      <c r="I249">
        <v>2659.59</v>
      </c>
      <c r="J249">
        <v>1747.52</v>
      </c>
      <c r="K249">
        <v>912.07</v>
      </c>
    </row>
    <row r="250" spans="1:11" x14ac:dyDescent="0.3">
      <c r="A250" t="s">
        <v>274</v>
      </c>
      <c r="B250" s="81">
        <v>45903</v>
      </c>
      <c r="C250" t="s">
        <v>16</v>
      </c>
      <c r="D250" t="s">
        <v>33</v>
      </c>
      <c r="E250" t="s">
        <v>34</v>
      </c>
      <c r="F250">
        <v>5</v>
      </c>
      <c r="G250">
        <v>487.17</v>
      </c>
      <c r="H250">
        <v>0.05</v>
      </c>
      <c r="I250">
        <v>2314.04</v>
      </c>
      <c r="J250">
        <v>1538.64</v>
      </c>
      <c r="K250">
        <v>775.4</v>
      </c>
    </row>
    <row r="251" spans="1:11" x14ac:dyDescent="0.3">
      <c r="A251" t="s">
        <v>275</v>
      </c>
      <c r="B251" s="81">
        <v>45971</v>
      </c>
      <c r="C251" t="s">
        <v>21</v>
      </c>
      <c r="D251" t="s">
        <v>17</v>
      </c>
      <c r="E251" t="s">
        <v>18</v>
      </c>
      <c r="F251">
        <v>10</v>
      </c>
      <c r="G251">
        <v>232.75</v>
      </c>
      <c r="H251">
        <v>0.1</v>
      </c>
      <c r="I251">
        <v>2094.79</v>
      </c>
      <c r="J251">
        <v>1592.5</v>
      </c>
      <c r="K251">
        <v>502.29</v>
      </c>
    </row>
    <row r="252" spans="1:11" x14ac:dyDescent="0.3">
      <c r="A252" t="s">
        <v>276</v>
      </c>
      <c r="B252" s="81">
        <v>45945</v>
      </c>
      <c r="C252" t="s">
        <v>12</v>
      </c>
      <c r="D252" t="s">
        <v>33</v>
      </c>
      <c r="E252" t="s">
        <v>22</v>
      </c>
      <c r="F252">
        <v>1</v>
      </c>
      <c r="G252">
        <v>44.75</v>
      </c>
      <c r="H252">
        <v>0</v>
      </c>
      <c r="I252">
        <v>44.75</v>
      </c>
      <c r="J252">
        <v>29.07</v>
      </c>
      <c r="K252">
        <v>15.68</v>
      </c>
    </row>
    <row r="253" spans="1:11" x14ac:dyDescent="0.3">
      <c r="A253" t="s">
        <v>277</v>
      </c>
      <c r="B253" s="81">
        <v>45831</v>
      </c>
      <c r="C253" t="s">
        <v>16</v>
      </c>
      <c r="D253" t="s">
        <v>33</v>
      </c>
      <c r="E253" t="s">
        <v>24</v>
      </c>
      <c r="F253">
        <v>8</v>
      </c>
      <c r="G253">
        <v>465.42</v>
      </c>
      <c r="H253">
        <v>0.05</v>
      </c>
      <c r="I253">
        <v>3537.16</v>
      </c>
      <c r="J253">
        <v>1948.43</v>
      </c>
      <c r="K253">
        <v>1588.73</v>
      </c>
    </row>
    <row r="254" spans="1:11" x14ac:dyDescent="0.3">
      <c r="A254" t="s">
        <v>278</v>
      </c>
      <c r="B254" s="81">
        <v>45717</v>
      </c>
      <c r="C254" t="s">
        <v>21</v>
      </c>
      <c r="D254" t="s">
        <v>13</v>
      </c>
      <c r="E254" t="s">
        <v>24</v>
      </c>
      <c r="F254">
        <v>9</v>
      </c>
      <c r="G254">
        <v>470.63</v>
      </c>
      <c r="H254">
        <v>0</v>
      </c>
      <c r="I254">
        <v>4235.68</v>
      </c>
      <c r="J254">
        <v>2988.89</v>
      </c>
      <c r="K254">
        <v>1246.79</v>
      </c>
    </row>
    <row r="255" spans="1:11" x14ac:dyDescent="0.3">
      <c r="A255" t="s">
        <v>279</v>
      </c>
      <c r="B255" s="81">
        <v>45735</v>
      </c>
      <c r="C255" t="s">
        <v>12</v>
      </c>
      <c r="D255" t="s">
        <v>13</v>
      </c>
      <c r="E255" t="s">
        <v>22</v>
      </c>
      <c r="F255">
        <v>2</v>
      </c>
      <c r="G255">
        <v>391.77</v>
      </c>
      <c r="H255">
        <v>0.2</v>
      </c>
      <c r="I255">
        <v>626.83000000000004</v>
      </c>
      <c r="J255">
        <v>453.3</v>
      </c>
      <c r="K255">
        <v>173.52</v>
      </c>
    </row>
    <row r="256" spans="1:11" x14ac:dyDescent="0.3">
      <c r="A256" t="s">
        <v>280</v>
      </c>
      <c r="B256" s="81">
        <v>45933</v>
      </c>
      <c r="C256" t="s">
        <v>12</v>
      </c>
      <c r="D256" t="s">
        <v>33</v>
      </c>
      <c r="E256" t="s">
        <v>18</v>
      </c>
      <c r="F256">
        <v>9</v>
      </c>
      <c r="G256">
        <v>806.67</v>
      </c>
      <c r="H256">
        <v>0.2</v>
      </c>
      <c r="I256">
        <v>5808.06</v>
      </c>
      <c r="J256">
        <v>4411.3100000000004</v>
      </c>
      <c r="K256">
        <v>1396.75</v>
      </c>
    </row>
    <row r="257" spans="1:11" x14ac:dyDescent="0.3">
      <c r="A257" t="s">
        <v>281</v>
      </c>
      <c r="B257" s="81">
        <v>45974</v>
      </c>
      <c r="C257" t="s">
        <v>21</v>
      </c>
      <c r="D257" t="s">
        <v>17</v>
      </c>
      <c r="E257" t="s">
        <v>34</v>
      </c>
      <c r="F257">
        <v>2</v>
      </c>
      <c r="G257">
        <v>118.88</v>
      </c>
      <c r="H257">
        <v>0.05</v>
      </c>
      <c r="I257">
        <v>225.88</v>
      </c>
      <c r="J257">
        <v>179.55</v>
      </c>
      <c r="K257">
        <v>46.33</v>
      </c>
    </row>
    <row r="258" spans="1:11" x14ac:dyDescent="0.3">
      <c r="A258" t="s">
        <v>282</v>
      </c>
      <c r="B258" s="81">
        <v>45706</v>
      </c>
      <c r="C258" t="s">
        <v>12</v>
      </c>
      <c r="D258" t="s">
        <v>33</v>
      </c>
      <c r="E258" t="s">
        <v>18</v>
      </c>
      <c r="F258">
        <v>3</v>
      </c>
      <c r="G258">
        <v>844.55</v>
      </c>
      <c r="H258">
        <v>0.1</v>
      </c>
      <c r="I258">
        <v>2280.29</v>
      </c>
      <c r="J258">
        <v>1779.81</v>
      </c>
      <c r="K258">
        <v>500.48</v>
      </c>
    </row>
    <row r="259" spans="1:11" x14ac:dyDescent="0.3">
      <c r="A259" t="s">
        <v>283</v>
      </c>
      <c r="B259" s="81">
        <v>45840</v>
      </c>
      <c r="C259" t="s">
        <v>12</v>
      </c>
      <c r="D259" t="s">
        <v>33</v>
      </c>
      <c r="E259" t="s">
        <v>29</v>
      </c>
      <c r="F259">
        <v>1</v>
      </c>
      <c r="G259">
        <v>339.71</v>
      </c>
      <c r="H259">
        <v>0.05</v>
      </c>
      <c r="I259">
        <v>322.72000000000003</v>
      </c>
      <c r="J259">
        <v>167.73</v>
      </c>
      <c r="K259">
        <v>154.99</v>
      </c>
    </row>
    <row r="260" spans="1:11" x14ac:dyDescent="0.3">
      <c r="A260" t="s">
        <v>284</v>
      </c>
      <c r="B260" s="81">
        <v>45710</v>
      </c>
      <c r="C260" t="s">
        <v>12</v>
      </c>
      <c r="D260" t="s">
        <v>13</v>
      </c>
      <c r="E260" t="s">
        <v>14</v>
      </c>
      <c r="F260">
        <v>4</v>
      </c>
      <c r="G260">
        <v>165.75</v>
      </c>
      <c r="H260">
        <v>0.1</v>
      </c>
      <c r="I260">
        <v>596.69000000000005</v>
      </c>
      <c r="J260">
        <v>398.94</v>
      </c>
      <c r="K260">
        <v>197.76</v>
      </c>
    </row>
    <row r="261" spans="1:11" x14ac:dyDescent="0.3">
      <c r="A261" t="s">
        <v>285</v>
      </c>
      <c r="B261" s="81">
        <v>45690</v>
      </c>
      <c r="C261" t="s">
        <v>21</v>
      </c>
      <c r="D261" t="s">
        <v>17</v>
      </c>
      <c r="E261" t="s">
        <v>14</v>
      </c>
      <c r="F261">
        <v>3</v>
      </c>
      <c r="G261">
        <v>769.44</v>
      </c>
      <c r="H261">
        <v>0</v>
      </c>
      <c r="I261">
        <v>2308.33</v>
      </c>
      <c r="J261">
        <v>1763.46</v>
      </c>
      <c r="K261">
        <v>544.86</v>
      </c>
    </row>
    <row r="262" spans="1:11" x14ac:dyDescent="0.3">
      <c r="A262" t="s">
        <v>286</v>
      </c>
      <c r="B262" s="81">
        <v>45697</v>
      </c>
      <c r="C262" t="s">
        <v>21</v>
      </c>
      <c r="D262" t="s">
        <v>17</v>
      </c>
      <c r="E262" t="s">
        <v>29</v>
      </c>
      <c r="F262">
        <v>11</v>
      </c>
      <c r="G262">
        <v>395.87</v>
      </c>
      <c r="H262">
        <v>0.1</v>
      </c>
      <c r="I262">
        <v>3919.14</v>
      </c>
      <c r="J262">
        <v>2874.25</v>
      </c>
      <c r="K262">
        <v>1044.8800000000001</v>
      </c>
    </row>
    <row r="263" spans="1:11" x14ac:dyDescent="0.3">
      <c r="A263" t="s">
        <v>287</v>
      </c>
      <c r="B263" s="81">
        <v>45690</v>
      </c>
      <c r="C263" t="s">
        <v>28</v>
      </c>
      <c r="D263" t="s">
        <v>33</v>
      </c>
      <c r="E263" t="s">
        <v>22</v>
      </c>
      <c r="F263">
        <v>3</v>
      </c>
      <c r="G263">
        <v>709.78</v>
      </c>
      <c r="H263">
        <v>0.05</v>
      </c>
      <c r="I263">
        <v>2022.88</v>
      </c>
      <c r="J263">
        <v>1344.86</v>
      </c>
      <c r="K263">
        <v>678.01</v>
      </c>
    </row>
    <row r="264" spans="1:11" x14ac:dyDescent="0.3">
      <c r="A264" t="s">
        <v>288</v>
      </c>
      <c r="B264" s="81">
        <v>45737</v>
      </c>
      <c r="C264" t="s">
        <v>21</v>
      </c>
      <c r="D264" t="s">
        <v>33</v>
      </c>
      <c r="E264" t="s">
        <v>22</v>
      </c>
      <c r="F264">
        <v>7</v>
      </c>
      <c r="G264">
        <v>339.91</v>
      </c>
      <c r="H264">
        <v>0</v>
      </c>
      <c r="I264">
        <v>2379.39</v>
      </c>
      <c r="J264">
        <v>1213.99</v>
      </c>
      <c r="K264">
        <v>1165.4000000000001</v>
      </c>
    </row>
    <row r="265" spans="1:11" x14ac:dyDescent="0.3">
      <c r="A265" t="s">
        <v>289</v>
      </c>
      <c r="B265" s="81">
        <v>46008</v>
      </c>
      <c r="C265" t="s">
        <v>16</v>
      </c>
      <c r="D265" t="s">
        <v>33</v>
      </c>
      <c r="E265" t="s">
        <v>14</v>
      </c>
      <c r="F265">
        <v>2</v>
      </c>
      <c r="G265">
        <v>820.98</v>
      </c>
      <c r="H265">
        <v>0.1</v>
      </c>
      <c r="I265">
        <v>1477.77</v>
      </c>
      <c r="J265">
        <v>965.52</v>
      </c>
      <c r="K265">
        <v>512.26</v>
      </c>
    </row>
    <row r="266" spans="1:11" x14ac:dyDescent="0.3">
      <c r="A266" t="s">
        <v>290</v>
      </c>
      <c r="B266" s="81">
        <v>45970</v>
      </c>
      <c r="C266" t="s">
        <v>21</v>
      </c>
      <c r="D266" t="s">
        <v>17</v>
      </c>
      <c r="E266" t="s">
        <v>31</v>
      </c>
      <c r="F266">
        <v>10</v>
      </c>
      <c r="G266">
        <v>750.48</v>
      </c>
      <c r="H266">
        <v>0</v>
      </c>
      <c r="I266">
        <v>7504.77</v>
      </c>
      <c r="J266">
        <v>5840.69</v>
      </c>
      <c r="K266">
        <v>1664.09</v>
      </c>
    </row>
    <row r="267" spans="1:11" x14ac:dyDescent="0.3">
      <c r="A267" t="s">
        <v>291</v>
      </c>
      <c r="B267" s="81">
        <v>46011</v>
      </c>
      <c r="C267" t="s">
        <v>28</v>
      </c>
      <c r="D267" t="s">
        <v>13</v>
      </c>
      <c r="E267" t="s">
        <v>14</v>
      </c>
      <c r="F267">
        <v>11</v>
      </c>
      <c r="G267">
        <v>51.84</v>
      </c>
      <c r="H267">
        <v>0.15</v>
      </c>
      <c r="I267">
        <v>484.69</v>
      </c>
      <c r="J267">
        <v>266.45</v>
      </c>
      <c r="K267">
        <v>218.24</v>
      </c>
    </row>
    <row r="268" spans="1:11" x14ac:dyDescent="0.3">
      <c r="A268" t="s">
        <v>292</v>
      </c>
      <c r="B268" s="81">
        <v>45767</v>
      </c>
      <c r="C268" t="s">
        <v>28</v>
      </c>
      <c r="D268" t="s">
        <v>13</v>
      </c>
      <c r="E268" t="s">
        <v>14</v>
      </c>
      <c r="F268">
        <v>9</v>
      </c>
      <c r="G268">
        <v>259.58999999999997</v>
      </c>
      <c r="H268">
        <v>0.1</v>
      </c>
      <c r="I268">
        <v>2102.71</v>
      </c>
      <c r="J268">
        <v>1626.83</v>
      </c>
      <c r="K268">
        <v>475.88</v>
      </c>
    </row>
    <row r="269" spans="1:11" x14ac:dyDescent="0.3">
      <c r="A269" t="s">
        <v>293</v>
      </c>
      <c r="B269" s="81">
        <v>45796</v>
      </c>
      <c r="C269" t="s">
        <v>12</v>
      </c>
      <c r="D269" t="s">
        <v>33</v>
      </c>
      <c r="E269" t="s">
        <v>34</v>
      </c>
      <c r="F269">
        <v>1</v>
      </c>
      <c r="G269">
        <v>94.46</v>
      </c>
      <c r="H269">
        <v>0.15</v>
      </c>
      <c r="I269">
        <v>80.290000000000006</v>
      </c>
      <c r="J269">
        <v>52.86</v>
      </c>
      <c r="K269">
        <v>27.43</v>
      </c>
    </row>
    <row r="270" spans="1:11" x14ac:dyDescent="0.3">
      <c r="A270" t="s">
        <v>294</v>
      </c>
      <c r="B270" s="81">
        <v>45662</v>
      </c>
      <c r="C270" t="s">
        <v>12</v>
      </c>
      <c r="D270" t="s">
        <v>13</v>
      </c>
      <c r="E270" t="s">
        <v>26</v>
      </c>
      <c r="F270">
        <v>11</v>
      </c>
      <c r="G270">
        <v>789.22</v>
      </c>
      <c r="H270">
        <v>0.1</v>
      </c>
      <c r="I270">
        <v>7813.27</v>
      </c>
      <c r="J270">
        <v>4633.82</v>
      </c>
      <c r="K270">
        <v>3179.45</v>
      </c>
    </row>
    <row r="271" spans="1:11" x14ac:dyDescent="0.3">
      <c r="A271" t="s">
        <v>295</v>
      </c>
      <c r="B271" s="81">
        <v>45995</v>
      </c>
      <c r="C271" t="s">
        <v>12</v>
      </c>
      <c r="D271" t="s">
        <v>13</v>
      </c>
      <c r="E271" t="s">
        <v>34</v>
      </c>
      <c r="F271">
        <v>6</v>
      </c>
      <c r="G271">
        <v>624.71</v>
      </c>
      <c r="H271">
        <v>0</v>
      </c>
      <c r="I271">
        <v>3748.24</v>
      </c>
      <c r="J271">
        <v>1759.83</v>
      </c>
      <c r="K271">
        <v>1988.41</v>
      </c>
    </row>
    <row r="272" spans="1:11" x14ac:dyDescent="0.3">
      <c r="A272" t="s">
        <v>296</v>
      </c>
      <c r="B272" s="81">
        <v>45860</v>
      </c>
      <c r="C272" t="s">
        <v>12</v>
      </c>
      <c r="D272" t="s">
        <v>33</v>
      </c>
      <c r="E272" t="s">
        <v>18</v>
      </c>
      <c r="F272">
        <v>7</v>
      </c>
      <c r="G272">
        <v>678.03</v>
      </c>
      <c r="H272">
        <v>0.05</v>
      </c>
      <c r="I272">
        <v>4508.8999999999996</v>
      </c>
      <c r="J272">
        <v>3520.21</v>
      </c>
      <c r="K272">
        <v>988.69</v>
      </c>
    </row>
    <row r="273" spans="1:11" x14ac:dyDescent="0.3">
      <c r="A273" t="s">
        <v>297</v>
      </c>
      <c r="B273" s="81">
        <v>45723</v>
      </c>
      <c r="C273" t="s">
        <v>16</v>
      </c>
      <c r="D273" t="s">
        <v>33</v>
      </c>
      <c r="E273" t="s">
        <v>18</v>
      </c>
      <c r="F273">
        <v>2</v>
      </c>
      <c r="G273">
        <v>771.37</v>
      </c>
      <c r="H273">
        <v>0.15</v>
      </c>
      <c r="I273">
        <v>1311.34</v>
      </c>
      <c r="J273">
        <v>846.42</v>
      </c>
      <c r="K273">
        <v>464.91</v>
      </c>
    </row>
    <row r="274" spans="1:11" x14ac:dyDescent="0.3">
      <c r="A274" t="s">
        <v>298</v>
      </c>
      <c r="B274" s="81">
        <v>45661</v>
      </c>
      <c r="C274" t="s">
        <v>16</v>
      </c>
      <c r="D274" t="s">
        <v>17</v>
      </c>
      <c r="E274" t="s">
        <v>14</v>
      </c>
      <c r="F274">
        <v>11</v>
      </c>
      <c r="G274">
        <v>840.96</v>
      </c>
      <c r="H274">
        <v>0.05</v>
      </c>
      <c r="I274">
        <v>8787.99</v>
      </c>
      <c r="J274">
        <v>4307.08</v>
      </c>
      <c r="K274">
        <v>4480.91</v>
      </c>
    </row>
    <row r="275" spans="1:11" x14ac:dyDescent="0.3">
      <c r="A275" t="s">
        <v>299</v>
      </c>
      <c r="B275" s="81">
        <v>46006</v>
      </c>
      <c r="C275" t="s">
        <v>28</v>
      </c>
      <c r="D275" t="s">
        <v>33</v>
      </c>
      <c r="E275" t="s">
        <v>14</v>
      </c>
      <c r="F275">
        <v>11</v>
      </c>
      <c r="G275">
        <v>299.92</v>
      </c>
      <c r="H275">
        <v>0.15</v>
      </c>
      <c r="I275">
        <v>2804.26</v>
      </c>
      <c r="J275">
        <v>1263.3399999999999</v>
      </c>
      <c r="K275">
        <v>1540.92</v>
      </c>
    </row>
    <row r="276" spans="1:11" x14ac:dyDescent="0.3">
      <c r="A276" t="s">
        <v>300</v>
      </c>
      <c r="B276" s="81">
        <v>45668</v>
      </c>
      <c r="C276" t="s">
        <v>21</v>
      </c>
      <c r="D276" t="s">
        <v>17</v>
      </c>
      <c r="E276" t="s">
        <v>29</v>
      </c>
      <c r="F276">
        <v>9</v>
      </c>
      <c r="G276">
        <v>558.32000000000005</v>
      </c>
      <c r="H276">
        <v>0.1</v>
      </c>
      <c r="I276">
        <v>4522.42</v>
      </c>
      <c r="J276">
        <v>2517.59</v>
      </c>
      <c r="K276">
        <v>2004.83</v>
      </c>
    </row>
    <row r="277" spans="1:11" x14ac:dyDescent="0.3">
      <c r="A277" t="s">
        <v>301</v>
      </c>
      <c r="B277" s="81">
        <v>45858</v>
      </c>
      <c r="C277" t="s">
        <v>28</v>
      </c>
      <c r="D277" t="s">
        <v>13</v>
      </c>
      <c r="E277" t="s">
        <v>18</v>
      </c>
      <c r="F277">
        <v>2</v>
      </c>
      <c r="G277">
        <v>664.14</v>
      </c>
      <c r="H277">
        <v>0.15</v>
      </c>
      <c r="I277">
        <v>1129.04</v>
      </c>
      <c r="J277">
        <v>631.33000000000004</v>
      </c>
      <c r="K277">
        <v>497.71</v>
      </c>
    </row>
    <row r="278" spans="1:11" x14ac:dyDescent="0.3">
      <c r="A278" t="s">
        <v>302</v>
      </c>
      <c r="B278" s="81">
        <v>46006</v>
      </c>
      <c r="C278" t="s">
        <v>21</v>
      </c>
      <c r="D278" t="s">
        <v>17</v>
      </c>
      <c r="E278" t="s">
        <v>22</v>
      </c>
      <c r="F278">
        <v>10</v>
      </c>
      <c r="G278">
        <v>242.76</v>
      </c>
      <c r="H278">
        <v>0.05</v>
      </c>
      <c r="I278">
        <v>2306.25</v>
      </c>
      <c r="J278">
        <v>1290.73</v>
      </c>
      <c r="K278">
        <v>1015.52</v>
      </c>
    </row>
    <row r="279" spans="1:11" x14ac:dyDescent="0.3">
      <c r="A279" t="s">
        <v>303</v>
      </c>
      <c r="B279" s="81">
        <v>45665</v>
      </c>
      <c r="C279" t="s">
        <v>16</v>
      </c>
      <c r="D279" t="s">
        <v>33</v>
      </c>
      <c r="E279" t="s">
        <v>29</v>
      </c>
      <c r="F279">
        <v>8</v>
      </c>
      <c r="G279">
        <v>702.9</v>
      </c>
      <c r="H279">
        <v>0.05</v>
      </c>
      <c r="I279">
        <v>5342.02</v>
      </c>
      <c r="J279">
        <v>2933.14</v>
      </c>
      <c r="K279">
        <v>2408.88</v>
      </c>
    </row>
    <row r="280" spans="1:11" x14ac:dyDescent="0.3">
      <c r="A280" t="s">
        <v>304</v>
      </c>
      <c r="B280" s="81">
        <v>45811</v>
      </c>
      <c r="C280" t="s">
        <v>21</v>
      </c>
      <c r="D280" t="s">
        <v>13</v>
      </c>
      <c r="E280" t="s">
        <v>29</v>
      </c>
      <c r="F280">
        <v>3</v>
      </c>
      <c r="G280">
        <v>423.93</v>
      </c>
      <c r="H280">
        <v>0.05</v>
      </c>
      <c r="I280">
        <v>1208.19</v>
      </c>
      <c r="J280">
        <v>887.85</v>
      </c>
      <c r="K280">
        <v>320.33999999999997</v>
      </c>
    </row>
    <row r="281" spans="1:11" x14ac:dyDescent="0.3">
      <c r="A281" t="s">
        <v>305</v>
      </c>
      <c r="B281" s="81">
        <v>45873</v>
      </c>
      <c r="C281" t="s">
        <v>21</v>
      </c>
      <c r="D281" t="s">
        <v>33</v>
      </c>
      <c r="E281" t="s">
        <v>26</v>
      </c>
      <c r="F281">
        <v>1</v>
      </c>
      <c r="G281">
        <v>39.92</v>
      </c>
      <c r="H281">
        <v>0</v>
      </c>
      <c r="I281">
        <v>39.92</v>
      </c>
      <c r="J281">
        <v>25.99</v>
      </c>
      <c r="K281">
        <v>13.94</v>
      </c>
    </row>
    <row r="282" spans="1:11" x14ac:dyDescent="0.3">
      <c r="A282" t="s">
        <v>306</v>
      </c>
      <c r="B282" s="81">
        <v>45950</v>
      </c>
      <c r="C282" t="s">
        <v>21</v>
      </c>
      <c r="D282" t="s">
        <v>13</v>
      </c>
      <c r="E282" t="s">
        <v>22</v>
      </c>
      <c r="F282">
        <v>8</v>
      </c>
      <c r="G282">
        <v>704.26</v>
      </c>
      <c r="H282">
        <v>0.15</v>
      </c>
      <c r="I282">
        <v>4788.9799999999996</v>
      </c>
      <c r="J282">
        <v>3442.11</v>
      </c>
      <c r="K282">
        <v>1346.87</v>
      </c>
    </row>
    <row r="283" spans="1:11" x14ac:dyDescent="0.3">
      <c r="A283" t="s">
        <v>307</v>
      </c>
      <c r="B283" s="81">
        <v>45907</v>
      </c>
      <c r="C283" t="s">
        <v>28</v>
      </c>
      <c r="D283" t="s">
        <v>13</v>
      </c>
      <c r="E283" t="s">
        <v>29</v>
      </c>
      <c r="F283">
        <v>10</v>
      </c>
      <c r="G283">
        <v>507.96</v>
      </c>
      <c r="H283">
        <v>0</v>
      </c>
      <c r="I283">
        <v>5079.57</v>
      </c>
      <c r="J283">
        <v>2985.88</v>
      </c>
      <c r="K283">
        <v>2093.6999999999998</v>
      </c>
    </row>
    <row r="284" spans="1:11" x14ac:dyDescent="0.3">
      <c r="A284" t="s">
        <v>308</v>
      </c>
      <c r="B284" s="81">
        <v>45857</v>
      </c>
      <c r="C284" t="s">
        <v>21</v>
      </c>
      <c r="D284" t="s">
        <v>13</v>
      </c>
      <c r="E284" t="s">
        <v>26</v>
      </c>
      <c r="F284">
        <v>6</v>
      </c>
      <c r="G284">
        <v>19.010000000000002</v>
      </c>
      <c r="H284">
        <v>0.15</v>
      </c>
      <c r="I284">
        <v>96.94</v>
      </c>
      <c r="J284">
        <v>67.33</v>
      </c>
      <c r="K284">
        <v>29.6</v>
      </c>
    </row>
    <row r="285" spans="1:11" x14ac:dyDescent="0.3">
      <c r="A285" t="s">
        <v>309</v>
      </c>
      <c r="B285" s="81">
        <v>45924</v>
      </c>
      <c r="C285" t="s">
        <v>12</v>
      </c>
      <c r="D285" t="s">
        <v>13</v>
      </c>
      <c r="E285" t="s">
        <v>14</v>
      </c>
      <c r="F285">
        <v>8</v>
      </c>
      <c r="G285">
        <v>35.19</v>
      </c>
      <c r="H285">
        <v>0.15</v>
      </c>
      <c r="I285">
        <v>239.31</v>
      </c>
      <c r="J285">
        <v>157.15</v>
      </c>
      <c r="K285">
        <v>82.16</v>
      </c>
    </row>
    <row r="286" spans="1:11" x14ac:dyDescent="0.3">
      <c r="A286" t="s">
        <v>310</v>
      </c>
      <c r="B286" s="81">
        <v>45839</v>
      </c>
      <c r="C286" t="s">
        <v>12</v>
      </c>
      <c r="D286" t="s">
        <v>13</v>
      </c>
      <c r="E286" t="s">
        <v>24</v>
      </c>
      <c r="F286">
        <v>1</v>
      </c>
      <c r="G286">
        <v>790.89</v>
      </c>
      <c r="H286">
        <v>0.05</v>
      </c>
      <c r="I286">
        <v>751.35</v>
      </c>
      <c r="J286">
        <v>573.5</v>
      </c>
      <c r="K286">
        <v>177.85</v>
      </c>
    </row>
    <row r="287" spans="1:11" x14ac:dyDescent="0.3">
      <c r="A287" t="s">
        <v>311</v>
      </c>
      <c r="B287" s="81">
        <v>45810</v>
      </c>
      <c r="C287" t="s">
        <v>12</v>
      </c>
      <c r="D287" t="s">
        <v>13</v>
      </c>
      <c r="E287" t="s">
        <v>18</v>
      </c>
      <c r="F287">
        <v>5</v>
      </c>
      <c r="G287">
        <v>280.33</v>
      </c>
      <c r="H287">
        <v>0.15</v>
      </c>
      <c r="I287">
        <v>1191.4100000000001</v>
      </c>
      <c r="J287">
        <v>777.85</v>
      </c>
      <c r="K287">
        <v>413.56</v>
      </c>
    </row>
    <row r="288" spans="1:11" x14ac:dyDescent="0.3">
      <c r="A288" t="s">
        <v>312</v>
      </c>
      <c r="B288" s="81">
        <v>45879</v>
      </c>
      <c r="C288" t="s">
        <v>21</v>
      </c>
      <c r="D288" t="s">
        <v>17</v>
      </c>
      <c r="E288" t="s">
        <v>24</v>
      </c>
      <c r="F288">
        <v>2</v>
      </c>
      <c r="G288">
        <v>669.4</v>
      </c>
      <c r="H288">
        <v>0.1</v>
      </c>
      <c r="I288">
        <v>1204.92</v>
      </c>
      <c r="J288">
        <v>622.02</v>
      </c>
      <c r="K288">
        <v>582.91</v>
      </c>
    </row>
    <row r="289" spans="1:11" x14ac:dyDescent="0.3">
      <c r="A289" t="s">
        <v>313</v>
      </c>
      <c r="B289" s="81">
        <v>45850</v>
      </c>
      <c r="C289" t="s">
        <v>16</v>
      </c>
      <c r="D289" t="s">
        <v>13</v>
      </c>
      <c r="E289" t="s">
        <v>31</v>
      </c>
      <c r="F289">
        <v>3</v>
      </c>
      <c r="G289">
        <v>324.39999999999998</v>
      </c>
      <c r="H289">
        <v>0.1</v>
      </c>
      <c r="I289">
        <v>875.89</v>
      </c>
      <c r="J289">
        <v>451.02</v>
      </c>
      <c r="K289">
        <v>424.87</v>
      </c>
    </row>
    <row r="290" spans="1:11" x14ac:dyDescent="0.3">
      <c r="A290" t="s">
        <v>314</v>
      </c>
      <c r="B290" s="81">
        <v>45698</v>
      </c>
      <c r="C290" t="s">
        <v>12</v>
      </c>
      <c r="D290" t="s">
        <v>13</v>
      </c>
      <c r="E290" t="s">
        <v>14</v>
      </c>
      <c r="F290">
        <v>6</v>
      </c>
      <c r="G290">
        <v>145.81</v>
      </c>
      <c r="H290">
        <v>0.15</v>
      </c>
      <c r="I290">
        <v>743.61</v>
      </c>
      <c r="J290">
        <v>425.38</v>
      </c>
      <c r="K290">
        <v>318.23</v>
      </c>
    </row>
    <row r="291" spans="1:11" x14ac:dyDescent="0.3">
      <c r="A291" t="s">
        <v>315</v>
      </c>
      <c r="B291" s="81">
        <v>45827</v>
      </c>
      <c r="C291" t="s">
        <v>28</v>
      </c>
      <c r="D291" t="s">
        <v>13</v>
      </c>
      <c r="E291" t="s">
        <v>31</v>
      </c>
      <c r="F291">
        <v>7</v>
      </c>
      <c r="G291">
        <v>630.72</v>
      </c>
      <c r="H291">
        <v>0.15</v>
      </c>
      <c r="I291">
        <v>3752.76</v>
      </c>
      <c r="J291">
        <v>2388.37</v>
      </c>
      <c r="K291">
        <v>1364.39</v>
      </c>
    </row>
    <row r="292" spans="1:11" x14ac:dyDescent="0.3">
      <c r="A292" t="s">
        <v>316</v>
      </c>
      <c r="B292" s="81">
        <v>45733</v>
      </c>
      <c r="C292" t="s">
        <v>16</v>
      </c>
      <c r="D292" t="s">
        <v>33</v>
      </c>
      <c r="E292" t="s">
        <v>26</v>
      </c>
      <c r="F292">
        <v>7</v>
      </c>
      <c r="G292">
        <v>533.65</v>
      </c>
      <c r="H292">
        <v>0</v>
      </c>
      <c r="I292">
        <v>3735.56</v>
      </c>
      <c r="J292">
        <v>2942.33</v>
      </c>
      <c r="K292">
        <v>793.23</v>
      </c>
    </row>
    <row r="293" spans="1:11" x14ac:dyDescent="0.3">
      <c r="A293" t="s">
        <v>317</v>
      </c>
      <c r="B293" s="81">
        <v>45690</v>
      </c>
      <c r="C293" t="s">
        <v>28</v>
      </c>
      <c r="D293" t="s">
        <v>13</v>
      </c>
      <c r="E293" t="s">
        <v>24</v>
      </c>
      <c r="F293">
        <v>3</v>
      </c>
      <c r="G293">
        <v>437.17</v>
      </c>
      <c r="H293">
        <v>0.15</v>
      </c>
      <c r="I293">
        <v>1114.78</v>
      </c>
      <c r="J293">
        <v>514.05999999999995</v>
      </c>
      <c r="K293">
        <v>600.72</v>
      </c>
    </row>
    <row r="294" spans="1:11" x14ac:dyDescent="0.3">
      <c r="A294" t="s">
        <v>318</v>
      </c>
      <c r="B294" s="81">
        <v>45997</v>
      </c>
      <c r="C294" t="s">
        <v>21</v>
      </c>
      <c r="D294" t="s">
        <v>13</v>
      </c>
      <c r="E294" t="s">
        <v>31</v>
      </c>
      <c r="F294">
        <v>11</v>
      </c>
      <c r="G294">
        <v>414.35</v>
      </c>
      <c r="H294">
        <v>0.2</v>
      </c>
      <c r="I294">
        <v>3646.28</v>
      </c>
      <c r="J294">
        <v>2784.58</v>
      </c>
      <c r="K294">
        <v>861.7</v>
      </c>
    </row>
    <row r="295" spans="1:11" x14ac:dyDescent="0.3">
      <c r="A295" t="s">
        <v>319</v>
      </c>
      <c r="B295" s="81">
        <v>45875</v>
      </c>
      <c r="C295" t="s">
        <v>16</v>
      </c>
      <c r="D295" t="s">
        <v>17</v>
      </c>
      <c r="E295" t="s">
        <v>22</v>
      </c>
      <c r="F295">
        <v>5</v>
      </c>
      <c r="G295">
        <v>361.94</v>
      </c>
      <c r="H295">
        <v>0.05</v>
      </c>
      <c r="I295">
        <v>1719.22</v>
      </c>
      <c r="J295">
        <v>1117.19</v>
      </c>
      <c r="K295">
        <v>602.03</v>
      </c>
    </row>
    <row r="296" spans="1:11" x14ac:dyDescent="0.3">
      <c r="A296" t="s">
        <v>320</v>
      </c>
      <c r="B296" s="81">
        <v>45709</v>
      </c>
      <c r="C296" t="s">
        <v>16</v>
      </c>
      <c r="D296" t="s">
        <v>33</v>
      </c>
      <c r="E296" t="s">
        <v>26</v>
      </c>
      <c r="F296">
        <v>4</v>
      </c>
      <c r="G296">
        <v>440.5</v>
      </c>
      <c r="H296">
        <v>0.05</v>
      </c>
      <c r="I296">
        <v>1673.91</v>
      </c>
      <c r="J296">
        <v>758.06</v>
      </c>
      <c r="K296">
        <v>915.85</v>
      </c>
    </row>
    <row r="297" spans="1:11" x14ac:dyDescent="0.3">
      <c r="A297" t="s">
        <v>321</v>
      </c>
      <c r="B297" s="81">
        <v>45786</v>
      </c>
      <c r="C297" t="s">
        <v>21</v>
      </c>
      <c r="D297" t="s">
        <v>13</v>
      </c>
      <c r="E297" t="s">
        <v>22</v>
      </c>
      <c r="F297">
        <v>2</v>
      </c>
      <c r="G297">
        <v>766.25</v>
      </c>
      <c r="H297">
        <v>0.1</v>
      </c>
      <c r="I297">
        <v>1379.25</v>
      </c>
      <c r="J297">
        <v>1062.23</v>
      </c>
      <c r="K297">
        <v>317.01</v>
      </c>
    </row>
    <row r="298" spans="1:11" x14ac:dyDescent="0.3">
      <c r="A298" t="s">
        <v>322</v>
      </c>
      <c r="B298" s="81">
        <v>45946</v>
      </c>
      <c r="C298" t="s">
        <v>12</v>
      </c>
      <c r="D298" t="s">
        <v>33</v>
      </c>
      <c r="E298" t="s">
        <v>18</v>
      </c>
      <c r="F298">
        <v>7</v>
      </c>
      <c r="G298">
        <v>332.25</v>
      </c>
      <c r="H298">
        <v>0.05</v>
      </c>
      <c r="I298">
        <v>2209.4499999999998</v>
      </c>
      <c r="J298">
        <v>1269.6400000000001</v>
      </c>
      <c r="K298">
        <v>939.82</v>
      </c>
    </row>
    <row r="299" spans="1:11" x14ac:dyDescent="0.3">
      <c r="A299" t="s">
        <v>323</v>
      </c>
      <c r="B299" s="81">
        <v>45904</v>
      </c>
      <c r="C299" t="s">
        <v>28</v>
      </c>
      <c r="D299" t="s">
        <v>33</v>
      </c>
      <c r="E299" t="s">
        <v>34</v>
      </c>
      <c r="F299">
        <v>3</v>
      </c>
      <c r="G299">
        <v>350.01</v>
      </c>
      <c r="H299">
        <v>0.05</v>
      </c>
      <c r="I299">
        <v>997.52</v>
      </c>
      <c r="J299">
        <v>529.51</v>
      </c>
      <c r="K299">
        <v>468.01</v>
      </c>
    </row>
    <row r="300" spans="1:11" x14ac:dyDescent="0.3">
      <c r="A300" t="s">
        <v>324</v>
      </c>
      <c r="B300" s="81">
        <v>45988</v>
      </c>
      <c r="C300" t="s">
        <v>16</v>
      </c>
      <c r="D300" t="s">
        <v>13</v>
      </c>
      <c r="E300" t="s">
        <v>24</v>
      </c>
      <c r="F300">
        <v>8</v>
      </c>
      <c r="G300">
        <v>107.89</v>
      </c>
      <c r="H300">
        <v>0</v>
      </c>
      <c r="I300">
        <v>863.08</v>
      </c>
      <c r="J300">
        <v>409.57</v>
      </c>
      <c r="K300">
        <v>453.51</v>
      </c>
    </row>
    <row r="301" spans="1:11" x14ac:dyDescent="0.3">
      <c r="A301" t="s">
        <v>325</v>
      </c>
      <c r="B301" s="81">
        <v>45895</v>
      </c>
      <c r="C301" t="s">
        <v>16</v>
      </c>
      <c r="D301" t="s">
        <v>33</v>
      </c>
      <c r="E301" t="s">
        <v>24</v>
      </c>
      <c r="F301">
        <v>2</v>
      </c>
      <c r="G301">
        <v>422.28</v>
      </c>
      <c r="H301">
        <v>0.15</v>
      </c>
      <c r="I301">
        <v>717.88</v>
      </c>
      <c r="J301">
        <v>547.79</v>
      </c>
      <c r="K301">
        <v>170.09</v>
      </c>
    </row>
    <row r="302" spans="1:11" x14ac:dyDescent="0.3">
      <c r="A302" t="s">
        <v>326</v>
      </c>
      <c r="B302" s="81">
        <v>45957</v>
      </c>
      <c r="C302" t="s">
        <v>16</v>
      </c>
      <c r="D302" t="s">
        <v>33</v>
      </c>
      <c r="E302" t="s">
        <v>31</v>
      </c>
      <c r="F302">
        <v>4</v>
      </c>
      <c r="G302">
        <v>839.2</v>
      </c>
      <c r="H302">
        <v>0.15</v>
      </c>
      <c r="I302">
        <v>2853.29</v>
      </c>
      <c r="J302">
        <v>1809.39</v>
      </c>
      <c r="K302">
        <v>1043.9000000000001</v>
      </c>
    </row>
    <row r="303" spans="1:11" x14ac:dyDescent="0.3">
      <c r="A303" t="s">
        <v>327</v>
      </c>
      <c r="B303" s="81">
        <v>45700</v>
      </c>
      <c r="C303" t="s">
        <v>21</v>
      </c>
      <c r="D303" t="s">
        <v>13</v>
      </c>
      <c r="E303" t="s">
        <v>24</v>
      </c>
      <c r="F303">
        <v>8</v>
      </c>
      <c r="G303">
        <v>522.79999999999995</v>
      </c>
      <c r="H303">
        <v>0.2</v>
      </c>
      <c r="I303">
        <v>3345.89</v>
      </c>
      <c r="J303">
        <v>1767.28</v>
      </c>
      <c r="K303">
        <v>1578.62</v>
      </c>
    </row>
    <row r="304" spans="1:11" x14ac:dyDescent="0.3">
      <c r="A304" t="s">
        <v>328</v>
      </c>
      <c r="B304" s="81">
        <v>45967</v>
      </c>
      <c r="C304" t="s">
        <v>12</v>
      </c>
      <c r="D304" t="s">
        <v>13</v>
      </c>
      <c r="E304" t="s">
        <v>31</v>
      </c>
      <c r="F304">
        <v>4</v>
      </c>
      <c r="G304">
        <v>207.3</v>
      </c>
      <c r="H304">
        <v>0</v>
      </c>
      <c r="I304">
        <v>829.2</v>
      </c>
      <c r="J304">
        <v>403.14</v>
      </c>
      <c r="K304">
        <v>426.06</v>
      </c>
    </row>
    <row r="305" spans="1:11" x14ac:dyDescent="0.3">
      <c r="A305" t="s">
        <v>329</v>
      </c>
      <c r="B305" s="81">
        <v>45850</v>
      </c>
      <c r="C305" t="s">
        <v>28</v>
      </c>
      <c r="D305" t="s">
        <v>17</v>
      </c>
      <c r="E305" t="s">
        <v>24</v>
      </c>
      <c r="F305">
        <v>1</v>
      </c>
      <c r="G305">
        <v>552.64</v>
      </c>
      <c r="H305">
        <v>0.1</v>
      </c>
      <c r="I305">
        <v>497.38</v>
      </c>
      <c r="J305">
        <v>239.89</v>
      </c>
      <c r="K305">
        <v>257.49</v>
      </c>
    </row>
    <row r="306" spans="1:11" x14ac:dyDescent="0.3">
      <c r="A306" t="s">
        <v>330</v>
      </c>
      <c r="B306" s="81">
        <v>45993</v>
      </c>
      <c r="C306" t="s">
        <v>16</v>
      </c>
      <c r="D306" t="s">
        <v>13</v>
      </c>
      <c r="E306" t="s">
        <v>26</v>
      </c>
      <c r="F306">
        <v>10</v>
      </c>
      <c r="G306">
        <v>558.09</v>
      </c>
      <c r="H306">
        <v>0.2</v>
      </c>
      <c r="I306">
        <v>4464.6899999999996</v>
      </c>
      <c r="J306">
        <v>2166.0500000000002</v>
      </c>
      <c r="K306">
        <v>2298.64</v>
      </c>
    </row>
    <row r="307" spans="1:11" x14ac:dyDescent="0.3">
      <c r="A307" t="s">
        <v>331</v>
      </c>
      <c r="B307" s="81">
        <v>45774</v>
      </c>
      <c r="C307" t="s">
        <v>28</v>
      </c>
      <c r="D307" t="s">
        <v>13</v>
      </c>
      <c r="E307" t="s">
        <v>14</v>
      </c>
      <c r="F307">
        <v>6</v>
      </c>
      <c r="G307">
        <v>650.45000000000005</v>
      </c>
      <c r="H307">
        <v>0</v>
      </c>
      <c r="I307">
        <v>3902.69</v>
      </c>
      <c r="J307">
        <v>1853.14</v>
      </c>
      <c r="K307">
        <v>2049.5500000000002</v>
      </c>
    </row>
    <row r="308" spans="1:11" x14ac:dyDescent="0.3">
      <c r="A308" t="s">
        <v>332</v>
      </c>
      <c r="B308" s="81">
        <v>45974</v>
      </c>
      <c r="C308" t="s">
        <v>28</v>
      </c>
      <c r="D308" t="s">
        <v>17</v>
      </c>
      <c r="E308" t="s">
        <v>26</v>
      </c>
      <c r="F308">
        <v>5</v>
      </c>
      <c r="G308">
        <v>478.21</v>
      </c>
      <c r="H308">
        <v>0.05</v>
      </c>
      <c r="I308">
        <v>2271.5</v>
      </c>
      <c r="J308">
        <v>1359.97</v>
      </c>
      <c r="K308">
        <v>911.53</v>
      </c>
    </row>
    <row r="309" spans="1:11" x14ac:dyDescent="0.3">
      <c r="A309" t="s">
        <v>333</v>
      </c>
      <c r="B309" s="81">
        <v>45956</v>
      </c>
      <c r="C309" t="s">
        <v>12</v>
      </c>
      <c r="D309" t="s">
        <v>33</v>
      </c>
      <c r="E309" t="s">
        <v>24</v>
      </c>
      <c r="F309">
        <v>7</v>
      </c>
      <c r="G309">
        <v>538.19000000000005</v>
      </c>
      <c r="H309">
        <v>0.1</v>
      </c>
      <c r="I309">
        <v>3390.58</v>
      </c>
      <c r="J309">
        <v>2041.98</v>
      </c>
      <c r="K309">
        <v>1348.59</v>
      </c>
    </row>
    <row r="310" spans="1:11" x14ac:dyDescent="0.3">
      <c r="A310" t="s">
        <v>334</v>
      </c>
      <c r="B310" s="81">
        <v>45959</v>
      </c>
      <c r="C310" t="s">
        <v>21</v>
      </c>
      <c r="D310" t="s">
        <v>13</v>
      </c>
      <c r="E310" t="s">
        <v>18</v>
      </c>
      <c r="F310">
        <v>8</v>
      </c>
      <c r="G310">
        <v>227.11</v>
      </c>
      <c r="H310">
        <v>0</v>
      </c>
      <c r="I310">
        <v>1816.87</v>
      </c>
      <c r="J310">
        <v>1122.9000000000001</v>
      </c>
      <c r="K310">
        <v>693.97</v>
      </c>
    </row>
    <row r="311" spans="1:11" x14ac:dyDescent="0.3">
      <c r="A311" t="s">
        <v>335</v>
      </c>
      <c r="B311" s="81">
        <v>45711</v>
      </c>
      <c r="C311" t="s">
        <v>21</v>
      </c>
      <c r="D311" t="s">
        <v>17</v>
      </c>
      <c r="E311" t="s">
        <v>18</v>
      </c>
      <c r="F311">
        <v>8</v>
      </c>
      <c r="G311">
        <v>840.41</v>
      </c>
      <c r="H311">
        <v>0.1</v>
      </c>
      <c r="I311">
        <v>6050.92</v>
      </c>
      <c r="J311">
        <v>3682.95</v>
      </c>
      <c r="K311">
        <v>2367.98</v>
      </c>
    </row>
    <row r="312" spans="1:11" x14ac:dyDescent="0.3">
      <c r="A312" t="s">
        <v>336</v>
      </c>
      <c r="B312" s="81">
        <v>46012</v>
      </c>
      <c r="C312" t="s">
        <v>12</v>
      </c>
      <c r="D312" t="s">
        <v>33</v>
      </c>
      <c r="E312" t="s">
        <v>29</v>
      </c>
      <c r="F312">
        <v>10</v>
      </c>
      <c r="G312">
        <v>109.59</v>
      </c>
      <c r="H312">
        <v>0.05</v>
      </c>
      <c r="I312">
        <v>1041.1199999999999</v>
      </c>
      <c r="J312">
        <v>747.71</v>
      </c>
      <c r="K312">
        <v>293.41000000000003</v>
      </c>
    </row>
    <row r="313" spans="1:11" x14ac:dyDescent="0.3">
      <c r="A313" t="s">
        <v>337</v>
      </c>
      <c r="B313" s="81">
        <v>45893</v>
      </c>
      <c r="C313" t="s">
        <v>21</v>
      </c>
      <c r="D313" t="s">
        <v>17</v>
      </c>
      <c r="E313" t="s">
        <v>31</v>
      </c>
      <c r="F313">
        <v>11</v>
      </c>
      <c r="G313">
        <v>441.84</v>
      </c>
      <c r="H313">
        <v>0.1</v>
      </c>
      <c r="I313">
        <v>4374.25</v>
      </c>
      <c r="J313">
        <v>2080.71</v>
      </c>
      <c r="K313">
        <v>2293.54</v>
      </c>
    </row>
    <row r="314" spans="1:11" x14ac:dyDescent="0.3">
      <c r="A314" t="s">
        <v>338</v>
      </c>
      <c r="B314" s="81">
        <v>45828</v>
      </c>
      <c r="C314" t="s">
        <v>21</v>
      </c>
      <c r="D314" t="s">
        <v>17</v>
      </c>
      <c r="E314" t="s">
        <v>18</v>
      </c>
      <c r="F314">
        <v>2</v>
      </c>
      <c r="G314">
        <v>376.69</v>
      </c>
      <c r="H314">
        <v>0.1</v>
      </c>
      <c r="I314">
        <v>678.05</v>
      </c>
      <c r="J314">
        <v>503.45</v>
      </c>
      <c r="K314">
        <v>174.59</v>
      </c>
    </row>
    <row r="315" spans="1:11" x14ac:dyDescent="0.3">
      <c r="A315" t="s">
        <v>339</v>
      </c>
      <c r="B315" s="81">
        <v>45723</v>
      </c>
      <c r="C315" t="s">
        <v>16</v>
      </c>
      <c r="D315" t="s">
        <v>33</v>
      </c>
      <c r="E315" t="s">
        <v>14</v>
      </c>
      <c r="F315">
        <v>7</v>
      </c>
      <c r="G315">
        <v>185.5</v>
      </c>
      <c r="H315">
        <v>0</v>
      </c>
      <c r="I315">
        <v>1298.47</v>
      </c>
      <c r="J315">
        <v>667.66</v>
      </c>
      <c r="K315">
        <v>630.80999999999995</v>
      </c>
    </row>
    <row r="316" spans="1:11" x14ac:dyDescent="0.3">
      <c r="A316" t="s">
        <v>340</v>
      </c>
      <c r="B316" s="81">
        <v>45896</v>
      </c>
      <c r="C316" t="s">
        <v>21</v>
      </c>
      <c r="D316" t="s">
        <v>17</v>
      </c>
      <c r="E316" t="s">
        <v>29</v>
      </c>
      <c r="F316">
        <v>8</v>
      </c>
      <c r="G316">
        <v>461.19</v>
      </c>
      <c r="H316">
        <v>0.05</v>
      </c>
      <c r="I316">
        <v>3505.08</v>
      </c>
      <c r="J316">
        <v>2003.37</v>
      </c>
      <c r="K316">
        <v>1501.71</v>
      </c>
    </row>
    <row r="317" spans="1:11" x14ac:dyDescent="0.3">
      <c r="A317" t="s">
        <v>341</v>
      </c>
      <c r="B317" s="81">
        <v>45674</v>
      </c>
      <c r="C317" t="s">
        <v>16</v>
      </c>
      <c r="D317" t="s">
        <v>17</v>
      </c>
      <c r="E317" t="s">
        <v>26</v>
      </c>
      <c r="F317">
        <v>8</v>
      </c>
      <c r="G317">
        <v>383.57</v>
      </c>
      <c r="H317">
        <v>0</v>
      </c>
      <c r="I317">
        <v>3068.54</v>
      </c>
      <c r="J317">
        <v>1944.28</v>
      </c>
      <c r="K317">
        <v>1124.26</v>
      </c>
    </row>
    <row r="318" spans="1:11" x14ac:dyDescent="0.3">
      <c r="A318" t="s">
        <v>342</v>
      </c>
      <c r="B318" s="81">
        <v>45693</v>
      </c>
      <c r="C318" t="s">
        <v>28</v>
      </c>
      <c r="D318" t="s">
        <v>33</v>
      </c>
      <c r="E318" t="s">
        <v>18</v>
      </c>
      <c r="F318">
        <v>9</v>
      </c>
      <c r="G318">
        <v>373.51</v>
      </c>
      <c r="H318">
        <v>0.1</v>
      </c>
      <c r="I318">
        <v>3025.47</v>
      </c>
      <c r="J318">
        <v>2415.1999999999998</v>
      </c>
      <c r="K318">
        <v>610.27</v>
      </c>
    </row>
    <row r="319" spans="1:11" x14ac:dyDescent="0.3">
      <c r="A319" t="s">
        <v>343</v>
      </c>
      <c r="B319" s="81">
        <v>45698</v>
      </c>
      <c r="C319" t="s">
        <v>16</v>
      </c>
      <c r="D319" t="s">
        <v>17</v>
      </c>
      <c r="E319" t="s">
        <v>14</v>
      </c>
      <c r="F319">
        <v>6</v>
      </c>
      <c r="G319">
        <v>60.6</v>
      </c>
      <c r="H319">
        <v>0.05</v>
      </c>
      <c r="I319">
        <v>345.43</v>
      </c>
      <c r="J319">
        <v>157.47999999999999</v>
      </c>
      <c r="K319">
        <v>187.95</v>
      </c>
    </row>
    <row r="320" spans="1:11" x14ac:dyDescent="0.3">
      <c r="A320" t="s">
        <v>344</v>
      </c>
      <c r="B320" s="81">
        <v>45663</v>
      </c>
      <c r="C320" t="s">
        <v>21</v>
      </c>
      <c r="D320" t="s">
        <v>33</v>
      </c>
      <c r="E320" t="s">
        <v>34</v>
      </c>
      <c r="F320">
        <v>3</v>
      </c>
      <c r="G320">
        <v>564.9</v>
      </c>
      <c r="H320">
        <v>0.05</v>
      </c>
      <c r="I320">
        <v>1609.97</v>
      </c>
      <c r="J320">
        <v>913.78</v>
      </c>
      <c r="K320">
        <v>696.19</v>
      </c>
    </row>
    <row r="321" spans="1:11" x14ac:dyDescent="0.3">
      <c r="A321" t="s">
        <v>345</v>
      </c>
      <c r="B321" s="81">
        <v>45791</v>
      </c>
      <c r="C321" t="s">
        <v>16</v>
      </c>
      <c r="D321" t="s">
        <v>13</v>
      </c>
      <c r="E321" t="s">
        <v>14</v>
      </c>
      <c r="F321">
        <v>7</v>
      </c>
      <c r="G321">
        <v>234.8</v>
      </c>
      <c r="H321">
        <v>0.05</v>
      </c>
      <c r="I321">
        <v>1561.41</v>
      </c>
      <c r="J321">
        <v>803.25</v>
      </c>
      <c r="K321">
        <v>758.15</v>
      </c>
    </row>
    <row r="322" spans="1:11" x14ac:dyDescent="0.3">
      <c r="A322" t="s">
        <v>346</v>
      </c>
      <c r="B322" s="81">
        <v>45745</v>
      </c>
      <c r="C322" t="s">
        <v>12</v>
      </c>
      <c r="D322" t="s">
        <v>33</v>
      </c>
      <c r="E322" t="s">
        <v>18</v>
      </c>
      <c r="F322">
        <v>10</v>
      </c>
      <c r="G322">
        <v>445.42</v>
      </c>
      <c r="H322">
        <v>0.1</v>
      </c>
      <c r="I322">
        <v>4008.76</v>
      </c>
      <c r="J322">
        <v>3111.64</v>
      </c>
      <c r="K322">
        <v>897.12</v>
      </c>
    </row>
    <row r="323" spans="1:11" x14ac:dyDescent="0.3">
      <c r="A323" t="s">
        <v>347</v>
      </c>
      <c r="B323" s="81">
        <v>46011</v>
      </c>
      <c r="C323" t="s">
        <v>21</v>
      </c>
      <c r="D323" t="s">
        <v>13</v>
      </c>
      <c r="E323" t="s">
        <v>29</v>
      </c>
      <c r="F323">
        <v>8</v>
      </c>
      <c r="G323">
        <v>778.3</v>
      </c>
      <c r="H323">
        <v>0.1</v>
      </c>
      <c r="I323">
        <v>5603.73</v>
      </c>
      <c r="J323">
        <v>3145.8</v>
      </c>
      <c r="K323">
        <v>2457.9299999999998</v>
      </c>
    </row>
    <row r="324" spans="1:11" x14ac:dyDescent="0.3">
      <c r="A324" t="s">
        <v>348</v>
      </c>
      <c r="B324" s="81">
        <v>45887</v>
      </c>
      <c r="C324" t="s">
        <v>28</v>
      </c>
      <c r="D324" t="s">
        <v>13</v>
      </c>
      <c r="E324" t="s">
        <v>34</v>
      </c>
      <c r="F324">
        <v>1</v>
      </c>
      <c r="G324">
        <v>155.52000000000001</v>
      </c>
      <c r="H324">
        <v>0</v>
      </c>
      <c r="I324">
        <v>155.52000000000001</v>
      </c>
      <c r="J324">
        <v>73</v>
      </c>
      <c r="K324">
        <v>82.52</v>
      </c>
    </row>
    <row r="325" spans="1:11" x14ac:dyDescent="0.3">
      <c r="A325" t="s">
        <v>349</v>
      </c>
      <c r="B325" s="81">
        <v>45951</v>
      </c>
      <c r="C325" t="s">
        <v>28</v>
      </c>
      <c r="D325" t="s">
        <v>17</v>
      </c>
      <c r="E325" t="s">
        <v>18</v>
      </c>
      <c r="F325">
        <v>1</v>
      </c>
      <c r="G325">
        <v>246.98</v>
      </c>
      <c r="H325">
        <v>0</v>
      </c>
      <c r="I325">
        <v>246.98</v>
      </c>
      <c r="J325">
        <v>156.57</v>
      </c>
      <c r="K325">
        <v>90.41</v>
      </c>
    </row>
    <row r="326" spans="1:11" x14ac:dyDescent="0.3">
      <c r="A326" t="s">
        <v>350</v>
      </c>
      <c r="B326" s="81">
        <v>45723</v>
      </c>
      <c r="C326" t="s">
        <v>21</v>
      </c>
      <c r="D326" t="s">
        <v>33</v>
      </c>
      <c r="E326" t="s">
        <v>31</v>
      </c>
      <c r="F326">
        <v>3</v>
      </c>
      <c r="G326">
        <v>737.67</v>
      </c>
      <c r="H326">
        <v>0.05</v>
      </c>
      <c r="I326">
        <v>2102.36</v>
      </c>
      <c r="J326">
        <v>1246.8399999999999</v>
      </c>
      <c r="K326">
        <v>855.52</v>
      </c>
    </row>
    <row r="327" spans="1:11" x14ac:dyDescent="0.3">
      <c r="A327" t="s">
        <v>351</v>
      </c>
      <c r="B327" s="81">
        <v>45949</v>
      </c>
      <c r="C327" t="s">
        <v>21</v>
      </c>
      <c r="D327" t="s">
        <v>17</v>
      </c>
      <c r="E327" t="s">
        <v>26</v>
      </c>
      <c r="F327">
        <v>8</v>
      </c>
      <c r="G327">
        <v>294.95</v>
      </c>
      <c r="H327">
        <v>0</v>
      </c>
      <c r="I327">
        <v>2359.63</v>
      </c>
      <c r="J327">
        <v>1125.31</v>
      </c>
      <c r="K327">
        <v>1234.32</v>
      </c>
    </row>
    <row r="328" spans="1:11" x14ac:dyDescent="0.3">
      <c r="A328" t="s">
        <v>352</v>
      </c>
      <c r="B328" s="81">
        <v>45953</v>
      </c>
      <c r="C328" t="s">
        <v>12</v>
      </c>
      <c r="D328" t="s">
        <v>13</v>
      </c>
      <c r="E328" t="s">
        <v>31</v>
      </c>
      <c r="F328">
        <v>3</v>
      </c>
      <c r="G328">
        <v>549.16999999999996</v>
      </c>
      <c r="H328">
        <v>0.05</v>
      </c>
      <c r="I328">
        <v>1565.14</v>
      </c>
      <c r="J328">
        <v>1059.51</v>
      </c>
      <c r="K328">
        <v>505.62</v>
      </c>
    </row>
    <row r="329" spans="1:11" x14ac:dyDescent="0.3">
      <c r="A329" t="s">
        <v>353</v>
      </c>
      <c r="B329" s="81">
        <v>46008</v>
      </c>
      <c r="C329" t="s">
        <v>12</v>
      </c>
      <c r="D329" t="s">
        <v>33</v>
      </c>
      <c r="E329" t="s">
        <v>26</v>
      </c>
      <c r="F329">
        <v>3</v>
      </c>
      <c r="G329">
        <v>134.08000000000001</v>
      </c>
      <c r="H329">
        <v>0.1</v>
      </c>
      <c r="I329">
        <v>362.02</v>
      </c>
      <c r="J329">
        <v>163.83000000000001</v>
      </c>
      <c r="K329">
        <v>198.19</v>
      </c>
    </row>
    <row r="330" spans="1:11" x14ac:dyDescent="0.3">
      <c r="A330" t="s">
        <v>354</v>
      </c>
      <c r="B330" s="81">
        <v>45757</v>
      </c>
      <c r="C330" t="s">
        <v>16</v>
      </c>
      <c r="D330" t="s">
        <v>13</v>
      </c>
      <c r="E330" t="s">
        <v>31</v>
      </c>
      <c r="F330">
        <v>6</v>
      </c>
      <c r="G330">
        <v>304.93</v>
      </c>
      <c r="H330">
        <v>0.05</v>
      </c>
      <c r="I330">
        <v>1738.08</v>
      </c>
      <c r="J330">
        <v>1335.54</v>
      </c>
      <c r="K330">
        <v>402.54</v>
      </c>
    </row>
    <row r="331" spans="1:11" x14ac:dyDescent="0.3">
      <c r="A331" t="s">
        <v>355</v>
      </c>
      <c r="B331" s="81">
        <v>45827</v>
      </c>
      <c r="C331" t="s">
        <v>12</v>
      </c>
      <c r="D331" t="s">
        <v>13</v>
      </c>
      <c r="E331" t="s">
        <v>26</v>
      </c>
      <c r="F331">
        <v>9</v>
      </c>
      <c r="G331">
        <v>749.97</v>
      </c>
      <c r="H331">
        <v>0.2</v>
      </c>
      <c r="I331">
        <v>5399.79</v>
      </c>
      <c r="J331">
        <v>3299.97</v>
      </c>
      <c r="K331">
        <v>2099.8200000000002</v>
      </c>
    </row>
    <row r="332" spans="1:11" x14ac:dyDescent="0.3">
      <c r="A332" t="s">
        <v>356</v>
      </c>
      <c r="B332" s="81">
        <v>45907</v>
      </c>
      <c r="C332" t="s">
        <v>28</v>
      </c>
      <c r="D332" t="s">
        <v>17</v>
      </c>
      <c r="E332" t="s">
        <v>24</v>
      </c>
      <c r="F332">
        <v>10</v>
      </c>
      <c r="G332">
        <v>458.42</v>
      </c>
      <c r="H332">
        <v>0.05</v>
      </c>
      <c r="I332">
        <v>4354.97</v>
      </c>
      <c r="J332">
        <v>2419.13</v>
      </c>
      <c r="K332">
        <v>1935.84</v>
      </c>
    </row>
    <row r="333" spans="1:11" x14ac:dyDescent="0.3">
      <c r="A333" t="s">
        <v>357</v>
      </c>
      <c r="B333" s="81">
        <v>45825</v>
      </c>
      <c r="C333" t="s">
        <v>16</v>
      </c>
      <c r="D333" t="s">
        <v>33</v>
      </c>
      <c r="E333" t="s">
        <v>26</v>
      </c>
      <c r="F333">
        <v>3</v>
      </c>
      <c r="G333">
        <v>637.23</v>
      </c>
      <c r="H333">
        <v>0.1</v>
      </c>
      <c r="I333">
        <v>1720.53</v>
      </c>
      <c r="J333">
        <v>1347.05</v>
      </c>
      <c r="K333">
        <v>373.47</v>
      </c>
    </row>
    <row r="334" spans="1:11" x14ac:dyDescent="0.3">
      <c r="A334" t="s">
        <v>358</v>
      </c>
      <c r="B334" s="81">
        <v>45950</v>
      </c>
      <c r="C334" t="s">
        <v>12</v>
      </c>
      <c r="D334" t="s">
        <v>17</v>
      </c>
      <c r="E334" t="s">
        <v>31</v>
      </c>
      <c r="F334">
        <v>4</v>
      </c>
      <c r="G334">
        <v>703.1</v>
      </c>
      <c r="H334">
        <v>0.05</v>
      </c>
      <c r="I334">
        <v>2671.8</v>
      </c>
      <c r="J334">
        <v>1841.77</v>
      </c>
      <c r="K334">
        <v>830.03</v>
      </c>
    </row>
    <row r="335" spans="1:11" x14ac:dyDescent="0.3">
      <c r="A335" t="s">
        <v>359</v>
      </c>
      <c r="B335" s="81">
        <v>46008</v>
      </c>
      <c r="C335" t="s">
        <v>12</v>
      </c>
      <c r="D335" t="s">
        <v>17</v>
      </c>
      <c r="E335" t="s">
        <v>26</v>
      </c>
      <c r="F335">
        <v>7</v>
      </c>
      <c r="G335">
        <v>68.900000000000006</v>
      </c>
      <c r="H335">
        <v>0.05</v>
      </c>
      <c r="I335">
        <v>458.2</v>
      </c>
      <c r="J335">
        <v>359.32</v>
      </c>
      <c r="K335">
        <v>98.88</v>
      </c>
    </row>
    <row r="336" spans="1:11" x14ac:dyDescent="0.3">
      <c r="A336" t="s">
        <v>360</v>
      </c>
      <c r="B336" s="81">
        <v>45819</v>
      </c>
      <c r="C336" t="s">
        <v>21</v>
      </c>
      <c r="D336" t="s">
        <v>17</v>
      </c>
      <c r="E336" t="s">
        <v>24</v>
      </c>
      <c r="F336">
        <v>9</v>
      </c>
      <c r="G336">
        <v>619.21</v>
      </c>
      <c r="H336">
        <v>0.15</v>
      </c>
      <c r="I336">
        <v>4736.99</v>
      </c>
      <c r="J336">
        <v>3356.01</v>
      </c>
      <c r="K336">
        <v>1380.98</v>
      </c>
    </row>
    <row r="337" spans="1:11" x14ac:dyDescent="0.3">
      <c r="A337" t="s">
        <v>361</v>
      </c>
      <c r="B337" s="81">
        <v>45786</v>
      </c>
      <c r="C337" t="s">
        <v>28</v>
      </c>
      <c r="D337" t="s">
        <v>13</v>
      </c>
      <c r="E337" t="s">
        <v>34</v>
      </c>
      <c r="F337">
        <v>6</v>
      </c>
      <c r="G337">
        <v>68.06</v>
      </c>
      <c r="H337">
        <v>0</v>
      </c>
      <c r="I337">
        <v>408.36</v>
      </c>
      <c r="J337">
        <v>279.06</v>
      </c>
      <c r="K337">
        <v>129.29</v>
      </c>
    </row>
    <row r="338" spans="1:11" x14ac:dyDescent="0.3">
      <c r="A338" t="s">
        <v>362</v>
      </c>
      <c r="B338" s="81">
        <v>46007</v>
      </c>
      <c r="C338" t="s">
        <v>12</v>
      </c>
      <c r="D338" t="s">
        <v>17</v>
      </c>
      <c r="E338" t="s">
        <v>34</v>
      </c>
      <c r="F338">
        <v>7</v>
      </c>
      <c r="G338">
        <v>794.63</v>
      </c>
      <c r="H338">
        <v>0.05</v>
      </c>
      <c r="I338">
        <v>5284.32</v>
      </c>
      <c r="J338">
        <v>2504.2199999999998</v>
      </c>
      <c r="K338">
        <v>2780.1</v>
      </c>
    </row>
    <row r="339" spans="1:11" x14ac:dyDescent="0.3">
      <c r="A339" t="s">
        <v>363</v>
      </c>
      <c r="B339" s="81">
        <v>45959</v>
      </c>
      <c r="C339" t="s">
        <v>21</v>
      </c>
      <c r="D339" t="s">
        <v>17</v>
      </c>
      <c r="E339" t="s">
        <v>26</v>
      </c>
      <c r="F339">
        <v>7</v>
      </c>
      <c r="G339">
        <v>465.09</v>
      </c>
      <c r="H339">
        <v>0</v>
      </c>
      <c r="I339">
        <v>3255.61</v>
      </c>
      <c r="J339">
        <v>2293.63</v>
      </c>
      <c r="K339">
        <v>961.98</v>
      </c>
    </row>
    <row r="340" spans="1:11" x14ac:dyDescent="0.3">
      <c r="A340" t="s">
        <v>364</v>
      </c>
      <c r="B340" s="81">
        <v>45717</v>
      </c>
      <c r="C340" t="s">
        <v>12</v>
      </c>
      <c r="D340" t="s">
        <v>17</v>
      </c>
      <c r="E340" t="s">
        <v>22</v>
      </c>
      <c r="F340">
        <v>6</v>
      </c>
      <c r="G340">
        <v>382.33</v>
      </c>
      <c r="H340">
        <v>0</v>
      </c>
      <c r="I340">
        <v>2293.96</v>
      </c>
      <c r="J340">
        <v>1372.56</v>
      </c>
      <c r="K340">
        <v>921.41</v>
      </c>
    </row>
    <row r="341" spans="1:11" x14ac:dyDescent="0.3">
      <c r="A341" t="s">
        <v>365</v>
      </c>
      <c r="B341" s="81">
        <v>45751</v>
      </c>
      <c r="C341" t="s">
        <v>16</v>
      </c>
      <c r="D341" t="s">
        <v>13</v>
      </c>
      <c r="E341" t="s">
        <v>26</v>
      </c>
      <c r="F341">
        <v>8</v>
      </c>
      <c r="G341">
        <v>166.77</v>
      </c>
      <c r="H341">
        <v>0</v>
      </c>
      <c r="I341">
        <v>1334.12</v>
      </c>
      <c r="J341">
        <v>762.02</v>
      </c>
      <c r="K341">
        <v>572.1</v>
      </c>
    </row>
    <row r="342" spans="1:11" x14ac:dyDescent="0.3">
      <c r="A342" t="s">
        <v>366</v>
      </c>
      <c r="B342" s="81">
        <v>45996</v>
      </c>
      <c r="C342" t="s">
        <v>12</v>
      </c>
      <c r="D342" t="s">
        <v>33</v>
      </c>
      <c r="E342" t="s">
        <v>14</v>
      </c>
      <c r="F342">
        <v>9</v>
      </c>
      <c r="G342">
        <v>614.11</v>
      </c>
      <c r="H342">
        <v>0.15</v>
      </c>
      <c r="I342">
        <v>4697.95</v>
      </c>
      <c r="J342">
        <v>2672.97</v>
      </c>
      <c r="K342">
        <v>2024.98</v>
      </c>
    </row>
    <row r="343" spans="1:11" x14ac:dyDescent="0.3">
      <c r="A343" t="s">
        <v>367</v>
      </c>
      <c r="B343" s="81">
        <v>45922</v>
      </c>
      <c r="C343" t="s">
        <v>16</v>
      </c>
      <c r="D343" t="s">
        <v>33</v>
      </c>
      <c r="E343" t="s">
        <v>24</v>
      </c>
      <c r="F343">
        <v>9</v>
      </c>
      <c r="G343">
        <v>45.47</v>
      </c>
      <c r="H343">
        <v>0</v>
      </c>
      <c r="I343">
        <v>409.21</v>
      </c>
      <c r="J343">
        <v>219.85</v>
      </c>
      <c r="K343">
        <v>189.35</v>
      </c>
    </row>
    <row r="344" spans="1:11" x14ac:dyDescent="0.3">
      <c r="A344" t="s">
        <v>368</v>
      </c>
      <c r="B344" s="81">
        <v>45729</v>
      </c>
      <c r="C344" t="s">
        <v>21</v>
      </c>
      <c r="D344" t="s">
        <v>17</v>
      </c>
      <c r="E344" t="s">
        <v>31</v>
      </c>
      <c r="F344">
        <v>7</v>
      </c>
      <c r="G344">
        <v>268.31</v>
      </c>
      <c r="H344">
        <v>0</v>
      </c>
      <c r="I344">
        <v>1878.2</v>
      </c>
      <c r="J344">
        <v>1225.1300000000001</v>
      </c>
      <c r="K344">
        <v>653.07000000000005</v>
      </c>
    </row>
    <row r="345" spans="1:11" x14ac:dyDescent="0.3">
      <c r="A345" t="s">
        <v>369</v>
      </c>
      <c r="B345" s="81">
        <v>45804</v>
      </c>
      <c r="C345" t="s">
        <v>28</v>
      </c>
      <c r="D345" t="s">
        <v>33</v>
      </c>
      <c r="E345" t="s">
        <v>31</v>
      </c>
      <c r="F345">
        <v>8</v>
      </c>
      <c r="G345">
        <v>381.75</v>
      </c>
      <c r="H345">
        <v>0.05</v>
      </c>
      <c r="I345">
        <v>2901.31</v>
      </c>
      <c r="J345">
        <v>1660.94</v>
      </c>
      <c r="K345">
        <v>1240.3699999999999</v>
      </c>
    </row>
    <row r="346" spans="1:11" x14ac:dyDescent="0.3">
      <c r="A346" t="s">
        <v>370</v>
      </c>
      <c r="B346" s="81">
        <v>45685</v>
      </c>
      <c r="C346" t="s">
        <v>21</v>
      </c>
      <c r="D346" t="s">
        <v>17</v>
      </c>
      <c r="E346" t="s">
        <v>18</v>
      </c>
      <c r="F346">
        <v>7</v>
      </c>
      <c r="G346">
        <v>526.12</v>
      </c>
      <c r="H346">
        <v>0.1</v>
      </c>
      <c r="I346">
        <v>3314.55</v>
      </c>
      <c r="J346">
        <v>1602.28</v>
      </c>
      <c r="K346">
        <v>1712.27</v>
      </c>
    </row>
    <row r="347" spans="1:11" x14ac:dyDescent="0.3">
      <c r="A347" t="s">
        <v>371</v>
      </c>
      <c r="B347" s="81">
        <v>45707</v>
      </c>
      <c r="C347" t="s">
        <v>16</v>
      </c>
      <c r="D347" t="s">
        <v>13</v>
      </c>
      <c r="E347" t="s">
        <v>22</v>
      </c>
      <c r="F347">
        <v>8</v>
      </c>
      <c r="G347">
        <v>510.35</v>
      </c>
      <c r="H347">
        <v>0.2</v>
      </c>
      <c r="I347">
        <v>3266.25</v>
      </c>
      <c r="J347">
        <v>1487.74</v>
      </c>
      <c r="K347">
        <v>1778.51</v>
      </c>
    </row>
    <row r="348" spans="1:11" x14ac:dyDescent="0.3">
      <c r="A348" t="s">
        <v>372</v>
      </c>
      <c r="B348" s="81">
        <v>45865</v>
      </c>
      <c r="C348" t="s">
        <v>12</v>
      </c>
      <c r="D348" t="s">
        <v>17</v>
      </c>
      <c r="E348" t="s">
        <v>34</v>
      </c>
      <c r="F348">
        <v>10</v>
      </c>
      <c r="G348">
        <v>264.68</v>
      </c>
      <c r="H348">
        <v>0.05</v>
      </c>
      <c r="I348">
        <v>2514.4699999999998</v>
      </c>
      <c r="J348">
        <v>1567.67</v>
      </c>
      <c r="K348">
        <v>946.8</v>
      </c>
    </row>
    <row r="349" spans="1:11" x14ac:dyDescent="0.3">
      <c r="A349" t="s">
        <v>373</v>
      </c>
      <c r="B349" s="81">
        <v>45897</v>
      </c>
      <c r="C349" t="s">
        <v>16</v>
      </c>
      <c r="D349" t="s">
        <v>17</v>
      </c>
      <c r="E349" t="s">
        <v>31</v>
      </c>
      <c r="F349">
        <v>10</v>
      </c>
      <c r="G349">
        <v>448.82</v>
      </c>
      <c r="H349">
        <v>0.15</v>
      </c>
      <c r="I349">
        <v>3815</v>
      </c>
      <c r="J349">
        <v>2209.34</v>
      </c>
      <c r="K349">
        <v>1605.67</v>
      </c>
    </row>
    <row r="350" spans="1:11" x14ac:dyDescent="0.3">
      <c r="A350" t="s">
        <v>374</v>
      </c>
      <c r="B350" s="81">
        <v>45807</v>
      </c>
      <c r="C350" t="s">
        <v>21</v>
      </c>
      <c r="D350" t="s">
        <v>13</v>
      </c>
      <c r="E350" t="s">
        <v>24</v>
      </c>
      <c r="F350">
        <v>4</v>
      </c>
      <c r="G350">
        <v>261.27</v>
      </c>
      <c r="H350">
        <v>0.1</v>
      </c>
      <c r="I350">
        <v>940.58</v>
      </c>
      <c r="J350">
        <v>678.66</v>
      </c>
      <c r="K350">
        <v>261.92</v>
      </c>
    </row>
    <row r="351" spans="1:11" x14ac:dyDescent="0.3">
      <c r="A351" t="s">
        <v>375</v>
      </c>
      <c r="B351" s="81">
        <v>45950</v>
      </c>
      <c r="C351" t="s">
        <v>28</v>
      </c>
      <c r="D351" t="s">
        <v>13</v>
      </c>
      <c r="E351" t="s">
        <v>14</v>
      </c>
      <c r="F351">
        <v>7</v>
      </c>
      <c r="G351">
        <v>20.39</v>
      </c>
      <c r="H351">
        <v>0.15</v>
      </c>
      <c r="I351">
        <v>121.31</v>
      </c>
      <c r="J351">
        <v>69.510000000000005</v>
      </c>
      <c r="K351">
        <v>51.8</v>
      </c>
    </row>
    <row r="352" spans="1:11" x14ac:dyDescent="0.3">
      <c r="A352" t="s">
        <v>376</v>
      </c>
      <c r="B352" s="81">
        <v>45984</v>
      </c>
      <c r="C352" t="s">
        <v>12</v>
      </c>
      <c r="D352" t="s">
        <v>17</v>
      </c>
      <c r="E352" t="s">
        <v>31</v>
      </c>
      <c r="F352">
        <v>2</v>
      </c>
      <c r="G352">
        <v>66.33</v>
      </c>
      <c r="H352">
        <v>0.1</v>
      </c>
      <c r="I352">
        <v>119.4</v>
      </c>
      <c r="J352">
        <v>80.790000000000006</v>
      </c>
      <c r="K352">
        <v>38.61</v>
      </c>
    </row>
    <row r="353" spans="1:11" x14ac:dyDescent="0.3">
      <c r="A353" t="s">
        <v>377</v>
      </c>
      <c r="B353" s="81">
        <v>45805</v>
      </c>
      <c r="C353" t="s">
        <v>16</v>
      </c>
      <c r="D353" t="s">
        <v>33</v>
      </c>
      <c r="E353" t="s">
        <v>29</v>
      </c>
      <c r="F353">
        <v>8</v>
      </c>
      <c r="G353">
        <v>64.930000000000007</v>
      </c>
      <c r="H353">
        <v>0</v>
      </c>
      <c r="I353">
        <v>519.47</v>
      </c>
      <c r="J353">
        <v>242.99</v>
      </c>
      <c r="K353">
        <v>276.48</v>
      </c>
    </row>
    <row r="354" spans="1:11" x14ac:dyDescent="0.3">
      <c r="A354" t="s">
        <v>378</v>
      </c>
      <c r="B354" s="81">
        <v>45961</v>
      </c>
      <c r="C354" t="s">
        <v>16</v>
      </c>
      <c r="D354" t="s">
        <v>33</v>
      </c>
      <c r="E354" t="s">
        <v>14</v>
      </c>
      <c r="F354">
        <v>11</v>
      </c>
      <c r="G354">
        <v>600.70000000000005</v>
      </c>
      <c r="H354">
        <v>0.05</v>
      </c>
      <c r="I354">
        <v>6277.27</v>
      </c>
      <c r="J354">
        <v>4877.45</v>
      </c>
      <c r="K354">
        <v>1399.83</v>
      </c>
    </row>
    <row r="355" spans="1:11" x14ac:dyDescent="0.3">
      <c r="A355" t="s">
        <v>379</v>
      </c>
      <c r="B355" s="81">
        <v>46005</v>
      </c>
      <c r="C355" t="s">
        <v>28</v>
      </c>
      <c r="D355" t="s">
        <v>33</v>
      </c>
      <c r="E355" t="s">
        <v>29</v>
      </c>
      <c r="F355">
        <v>3</v>
      </c>
      <c r="G355">
        <v>430.49</v>
      </c>
      <c r="H355">
        <v>0.2</v>
      </c>
      <c r="I355">
        <v>1033.17</v>
      </c>
      <c r="J355">
        <v>681.19</v>
      </c>
      <c r="K355">
        <v>351.97</v>
      </c>
    </row>
    <row r="356" spans="1:11" x14ac:dyDescent="0.3">
      <c r="A356" t="s">
        <v>380</v>
      </c>
      <c r="B356" s="81">
        <v>45765</v>
      </c>
      <c r="C356" t="s">
        <v>12</v>
      </c>
      <c r="D356" t="s">
        <v>13</v>
      </c>
      <c r="E356" t="s">
        <v>18</v>
      </c>
      <c r="F356">
        <v>8</v>
      </c>
      <c r="G356">
        <v>109.73</v>
      </c>
      <c r="H356">
        <v>0.05</v>
      </c>
      <c r="I356">
        <v>833.92</v>
      </c>
      <c r="J356">
        <v>525.16</v>
      </c>
      <c r="K356">
        <v>308.77</v>
      </c>
    </row>
    <row r="357" spans="1:11" x14ac:dyDescent="0.3">
      <c r="A357" t="s">
        <v>381</v>
      </c>
      <c r="B357" s="81">
        <v>45995</v>
      </c>
      <c r="C357" t="s">
        <v>28</v>
      </c>
      <c r="D357" t="s">
        <v>33</v>
      </c>
      <c r="E357" t="s">
        <v>24</v>
      </c>
      <c r="F357">
        <v>6</v>
      </c>
      <c r="G357">
        <v>415.44</v>
      </c>
      <c r="H357">
        <v>0</v>
      </c>
      <c r="I357">
        <v>2492.65</v>
      </c>
      <c r="J357">
        <v>1608.26</v>
      </c>
      <c r="K357">
        <v>884.4</v>
      </c>
    </row>
    <row r="358" spans="1:11" x14ac:dyDescent="0.3">
      <c r="A358" t="s">
        <v>382</v>
      </c>
      <c r="B358" s="81">
        <v>45729</v>
      </c>
      <c r="C358" t="s">
        <v>12</v>
      </c>
      <c r="D358" t="s">
        <v>33</v>
      </c>
      <c r="E358" t="s">
        <v>31</v>
      </c>
      <c r="F358">
        <v>7</v>
      </c>
      <c r="G358">
        <v>803.01</v>
      </c>
      <c r="H358">
        <v>0</v>
      </c>
      <c r="I358">
        <v>5621.09</v>
      </c>
      <c r="J358">
        <v>3139.06</v>
      </c>
      <c r="K358">
        <v>2482.0300000000002</v>
      </c>
    </row>
    <row r="359" spans="1:11" x14ac:dyDescent="0.3">
      <c r="A359" t="s">
        <v>383</v>
      </c>
      <c r="B359" s="81">
        <v>45665</v>
      </c>
      <c r="C359" t="s">
        <v>12</v>
      </c>
      <c r="D359" t="s">
        <v>17</v>
      </c>
      <c r="E359" t="s">
        <v>29</v>
      </c>
      <c r="F359">
        <v>8</v>
      </c>
      <c r="G359">
        <v>411.35</v>
      </c>
      <c r="H359">
        <v>0.1</v>
      </c>
      <c r="I359">
        <v>2961.71</v>
      </c>
      <c r="J359">
        <v>1604.32</v>
      </c>
      <c r="K359">
        <v>1357.38</v>
      </c>
    </row>
    <row r="360" spans="1:11" x14ac:dyDescent="0.3">
      <c r="A360" t="s">
        <v>384</v>
      </c>
      <c r="B360" s="81">
        <v>45777</v>
      </c>
      <c r="C360" t="s">
        <v>28</v>
      </c>
      <c r="D360" t="s">
        <v>13</v>
      </c>
      <c r="E360" t="s">
        <v>14</v>
      </c>
      <c r="F360">
        <v>11</v>
      </c>
      <c r="G360">
        <v>567.45000000000005</v>
      </c>
      <c r="H360">
        <v>0.15</v>
      </c>
      <c r="I360">
        <v>5305.67</v>
      </c>
      <c r="J360">
        <v>4074.46</v>
      </c>
      <c r="K360">
        <v>1231.21</v>
      </c>
    </row>
    <row r="361" spans="1:11" x14ac:dyDescent="0.3">
      <c r="A361" t="s">
        <v>385</v>
      </c>
      <c r="B361" s="81">
        <v>45995</v>
      </c>
      <c r="C361" t="s">
        <v>12</v>
      </c>
      <c r="D361" t="s">
        <v>13</v>
      </c>
      <c r="E361" t="s">
        <v>26</v>
      </c>
      <c r="F361">
        <v>5</v>
      </c>
      <c r="G361">
        <v>702.36</v>
      </c>
      <c r="H361">
        <v>0.05</v>
      </c>
      <c r="I361">
        <v>3336.19</v>
      </c>
      <c r="J361">
        <v>2594.39</v>
      </c>
      <c r="K361">
        <v>741.8</v>
      </c>
    </row>
    <row r="362" spans="1:11" x14ac:dyDescent="0.3">
      <c r="A362" t="s">
        <v>386</v>
      </c>
      <c r="B362" s="81">
        <v>45907</v>
      </c>
      <c r="C362" t="s">
        <v>28</v>
      </c>
      <c r="D362" t="s">
        <v>33</v>
      </c>
      <c r="E362" t="s">
        <v>26</v>
      </c>
      <c r="F362">
        <v>7</v>
      </c>
      <c r="G362">
        <v>231.23</v>
      </c>
      <c r="H362">
        <v>0.05</v>
      </c>
      <c r="I362">
        <v>1537.7</v>
      </c>
      <c r="J362">
        <v>1038.47</v>
      </c>
      <c r="K362">
        <v>499.23</v>
      </c>
    </row>
    <row r="363" spans="1:11" x14ac:dyDescent="0.3">
      <c r="A363" t="s">
        <v>387</v>
      </c>
      <c r="B363" s="81">
        <v>45938</v>
      </c>
      <c r="C363" t="s">
        <v>21</v>
      </c>
      <c r="D363" t="s">
        <v>17</v>
      </c>
      <c r="E363" t="s">
        <v>24</v>
      </c>
      <c r="F363">
        <v>9</v>
      </c>
      <c r="G363">
        <v>390.96</v>
      </c>
      <c r="H363">
        <v>0.1</v>
      </c>
      <c r="I363">
        <v>3166.75</v>
      </c>
      <c r="J363">
        <v>1505.02</v>
      </c>
      <c r="K363">
        <v>1661.73</v>
      </c>
    </row>
    <row r="364" spans="1:11" x14ac:dyDescent="0.3">
      <c r="A364" t="s">
        <v>388</v>
      </c>
      <c r="B364" s="81">
        <v>45997</v>
      </c>
      <c r="C364" t="s">
        <v>21</v>
      </c>
      <c r="D364" t="s">
        <v>33</v>
      </c>
      <c r="E364" t="s">
        <v>29</v>
      </c>
      <c r="F364">
        <v>6</v>
      </c>
      <c r="G364">
        <v>491.51</v>
      </c>
      <c r="H364">
        <v>0.15</v>
      </c>
      <c r="I364">
        <v>2506.69</v>
      </c>
      <c r="J364">
        <v>1420.19</v>
      </c>
      <c r="K364">
        <v>1086.5</v>
      </c>
    </row>
    <row r="365" spans="1:11" x14ac:dyDescent="0.3">
      <c r="A365" t="s">
        <v>389</v>
      </c>
      <c r="B365" s="81">
        <v>45861</v>
      </c>
      <c r="C365" t="s">
        <v>21</v>
      </c>
      <c r="D365" t="s">
        <v>33</v>
      </c>
      <c r="E365" t="s">
        <v>18</v>
      </c>
      <c r="F365">
        <v>11</v>
      </c>
      <c r="G365">
        <v>814.41</v>
      </c>
      <c r="H365">
        <v>0.2</v>
      </c>
      <c r="I365">
        <v>7166.78</v>
      </c>
      <c r="J365">
        <v>3623.59</v>
      </c>
      <c r="K365">
        <v>3543.19</v>
      </c>
    </row>
    <row r="366" spans="1:11" x14ac:dyDescent="0.3">
      <c r="A366" t="s">
        <v>390</v>
      </c>
      <c r="B366" s="81">
        <v>46013</v>
      </c>
      <c r="C366" t="s">
        <v>21</v>
      </c>
      <c r="D366" t="s">
        <v>17</v>
      </c>
      <c r="E366" t="s">
        <v>31</v>
      </c>
      <c r="F366">
        <v>3</v>
      </c>
      <c r="G366">
        <v>534.66</v>
      </c>
      <c r="H366">
        <v>0</v>
      </c>
      <c r="I366">
        <v>1603.98</v>
      </c>
      <c r="J366">
        <v>1265.4100000000001</v>
      </c>
      <c r="K366">
        <v>338.57</v>
      </c>
    </row>
    <row r="367" spans="1:11" x14ac:dyDescent="0.3">
      <c r="A367" t="s">
        <v>391</v>
      </c>
      <c r="B367" s="81">
        <v>45873</v>
      </c>
      <c r="C367" t="s">
        <v>21</v>
      </c>
      <c r="D367" t="s">
        <v>33</v>
      </c>
      <c r="E367" t="s">
        <v>29</v>
      </c>
      <c r="F367">
        <v>2</v>
      </c>
      <c r="G367">
        <v>422.8</v>
      </c>
      <c r="H367">
        <v>0.1</v>
      </c>
      <c r="I367">
        <v>761.04</v>
      </c>
      <c r="J367">
        <v>608.65</v>
      </c>
      <c r="K367">
        <v>152.38999999999999</v>
      </c>
    </row>
    <row r="368" spans="1:11" x14ac:dyDescent="0.3">
      <c r="A368" t="s">
        <v>392</v>
      </c>
      <c r="B368" s="81">
        <v>46005</v>
      </c>
      <c r="C368" t="s">
        <v>12</v>
      </c>
      <c r="D368" t="s">
        <v>13</v>
      </c>
      <c r="E368" t="s">
        <v>14</v>
      </c>
      <c r="F368">
        <v>8</v>
      </c>
      <c r="G368">
        <v>694.38</v>
      </c>
      <c r="H368">
        <v>0</v>
      </c>
      <c r="I368">
        <v>5555.02</v>
      </c>
      <c r="J368">
        <v>3617.45</v>
      </c>
      <c r="K368">
        <v>1937.57</v>
      </c>
    </row>
    <row r="369" spans="1:11" x14ac:dyDescent="0.3">
      <c r="A369" t="s">
        <v>393</v>
      </c>
      <c r="B369" s="81">
        <v>45714</v>
      </c>
      <c r="C369" t="s">
        <v>16</v>
      </c>
      <c r="D369" t="s">
        <v>13</v>
      </c>
      <c r="E369" t="s">
        <v>29</v>
      </c>
      <c r="F369">
        <v>9</v>
      </c>
      <c r="G369">
        <v>309.27</v>
      </c>
      <c r="H369">
        <v>0.1</v>
      </c>
      <c r="I369">
        <v>2505.1</v>
      </c>
      <c r="J369">
        <v>1150.47</v>
      </c>
      <c r="K369">
        <v>1354.63</v>
      </c>
    </row>
    <row r="370" spans="1:11" x14ac:dyDescent="0.3">
      <c r="A370" t="s">
        <v>394</v>
      </c>
      <c r="B370" s="81">
        <v>45938</v>
      </c>
      <c r="C370" t="s">
        <v>28</v>
      </c>
      <c r="D370" t="s">
        <v>17</v>
      </c>
      <c r="E370" t="s">
        <v>18</v>
      </c>
      <c r="F370">
        <v>2</v>
      </c>
      <c r="G370">
        <v>712.87</v>
      </c>
      <c r="H370">
        <v>0</v>
      </c>
      <c r="I370">
        <v>1425.73</v>
      </c>
      <c r="J370">
        <v>1126.94</v>
      </c>
      <c r="K370">
        <v>298.79000000000002</v>
      </c>
    </row>
    <row r="371" spans="1:11" x14ac:dyDescent="0.3">
      <c r="A371" t="s">
        <v>395</v>
      </c>
      <c r="B371" s="81">
        <v>45884</v>
      </c>
      <c r="C371" t="s">
        <v>21</v>
      </c>
      <c r="D371" t="s">
        <v>33</v>
      </c>
      <c r="E371" t="s">
        <v>24</v>
      </c>
      <c r="F371">
        <v>3</v>
      </c>
      <c r="G371">
        <v>116.1</v>
      </c>
      <c r="H371">
        <v>0</v>
      </c>
      <c r="I371">
        <v>348.31</v>
      </c>
      <c r="J371">
        <v>269.70999999999998</v>
      </c>
      <c r="K371">
        <v>78.61</v>
      </c>
    </row>
    <row r="372" spans="1:11" x14ac:dyDescent="0.3">
      <c r="A372" t="s">
        <v>396</v>
      </c>
      <c r="B372" s="81">
        <v>45671</v>
      </c>
      <c r="C372" t="s">
        <v>28</v>
      </c>
      <c r="D372" t="s">
        <v>13</v>
      </c>
      <c r="E372" t="s">
        <v>26</v>
      </c>
      <c r="F372">
        <v>4</v>
      </c>
      <c r="G372">
        <v>534.02</v>
      </c>
      <c r="H372">
        <v>0.05</v>
      </c>
      <c r="I372">
        <v>2029.27</v>
      </c>
      <c r="J372">
        <v>1613.19</v>
      </c>
      <c r="K372">
        <v>416.07</v>
      </c>
    </row>
    <row r="373" spans="1:11" x14ac:dyDescent="0.3">
      <c r="A373" t="s">
        <v>397</v>
      </c>
      <c r="B373" s="81">
        <v>45728</v>
      </c>
      <c r="C373" t="s">
        <v>28</v>
      </c>
      <c r="D373" t="s">
        <v>13</v>
      </c>
      <c r="E373" t="s">
        <v>31</v>
      </c>
      <c r="F373">
        <v>6</v>
      </c>
      <c r="G373">
        <v>58.42</v>
      </c>
      <c r="H373">
        <v>0.2</v>
      </c>
      <c r="I373">
        <v>280.43</v>
      </c>
      <c r="J373">
        <v>185.24</v>
      </c>
      <c r="K373">
        <v>95.19</v>
      </c>
    </row>
    <row r="374" spans="1:11" x14ac:dyDescent="0.3">
      <c r="A374" t="s">
        <v>398</v>
      </c>
      <c r="B374" s="81">
        <v>45742</v>
      </c>
      <c r="C374" t="s">
        <v>16</v>
      </c>
      <c r="D374" t="s">
        <v>33</v>
      </c>
      <c r="E374" t="s">
        <v>31</v>
      </c>
      <c r="F374">
        <v>10</v>
      </c>
      <c r="G374">
        <v>225.92</v>
      </c>
      <c r="H374">
        <v>0.1</v>
      </c>
      <c r="I374">
        <v>2033.31</v>
      </c>
      <c r="J374">
        <v>1081.32</v>
      </c>
      <c r="K374">
        <v>951.99</v>
      </c>
    </row>
    <row r="375" spans="1:11" x14ac:dyDescent="0.3">
      <c r="A375" t="s">
        <v>399</v>
      </c>
      <c r="B375" s="81">
        <v>45815</v>
      </c>
      <c r="C375" t="s">
        <v>28</v>
      </c>
      <c r="D375" t="s">
        <v>17</v>
      </c>
      <c r="E375" t="s">
        <v>14</v>
      </c>
      <c r="F375">
        <v>2</v>
      </c>
      <c r="G375">
        <v>377.75</v>
      </c>
      <c r="H375">
        <v>0.05</v>
      </c>
      <c r="I375">
        <v>717.72</v>
      </c>
      <c r="J375">
        <v>341.42</v>
      </c>
      <c r="K375">
        <v>376.3</v>
      </c>
    </row>
    <row r="376" spans="1:11" x14ac:dyDescent="0.3">
      <c r="A376" t="s">
        <v>400</v>
      </c>
      <c r="B376" s="81">
        <v>45706</v>
      </c>
      <c r="C376" t="s">
        <v>28</v>
      </c>
      <c r="D376" t="s">
        <v>17</v>
      </c>
      <c r="E376" t="s">
        <v>24</v>
      </c>
      <c r="F376">
        <v>11</v>
      </c>
      <c r="G376">
        <v>342.28</v>
      </c>
      <c r="H376">
        <v>0.15</v>
      </c>
      <c r="I376">
        <v>3200.31</v>
      </c>
      <c r="J376">
        <v>2363.65</v>
      </c>
      <c r="K376">
        <v>836.66</v>
      </c>
    </row>
    <row r="377" spans="1:11" x14ac:dyDescent="0.3">
      <c r="A377" t="s">
        <v>401</v>
      </c>
      <c r="B377" s="81">
        <v>45678</v>
      </c>
      <c r="C377" t="s">
        <v>28</v>
      </c>
      <c r="D377" t="s">
        <v>17</v>
      </c>
      <c r="E377" t="s">
        <v>26</v>
      </c>
      <c r="F377">
        <v>11</v>
      </c>
      <c r="G377">
        <v>603.74</v>
      </c>
      <c r="H377">
        <v>0</v>
      </c>
      <c r="I377">
        <v>6641.18</v>
      </c>
      <c r="J377">
        <v>4856.46</v>
      </c>
      <c r="K377">
        <v>1784.72</v>
      </c>
    </row>
    <row r="378" spans="1:11" x14ac:dyDescent="0.3">
      <c r="A378" t="s">
        <v>402</v>
      </c>
      <c r="B378" s="81">
        <v>45951</v>
      </c>
      <c r="C378" t="s">
        <v>28</v>
      </c>
      <c r="D378" t="s">
        <v>13</v>
      </c>
      <c r="E378" t="s">
        <v>14</v>
      </c>
      <c r="F378">
        <v>2</v>
      </c>
      <c r="G378">
        <v>281.72000000000003</v>
      </c>
      <c r="H378">
        <v>0.1</v>
      </c>
      <c r="I378">
        <v>507.09</v>
      </c>
      <c r="J378">
        <v>235.28</v>
      </c>
      <c r="K378">
        <v>271.82</v>
      </c>
    </row>
    <row r="379" spans="1:11" x14ac:dyDescent="0.3">
      <c r="A379" t="s">
        <v>403</v>
      </c>
      <c r="B379" s="81">
        <v>45914</v>
      </c>
      <c r="C379" t="s">
        <v>28</v>
      </c>
      <c r="D379" t="s">
        <v>33</v>
      </c>
      <c r="E379" t="s">
        <v>18</v>
      </c>
      <c r="F379">
        <v>2</v>
      </c>
      <c r="G379">
        <v>775.35</v>
      </c>
      <c r="H379">
        <v>0.1</v>
      </c>
      <c r="I379">
        <v>1395.63</v>
      </c>
      <c r="J379">
        <v>830.27</v>
      </c>
      <c r="K379">
        <v>565.36</v>
      </c>
    </row>
    <row r="380" spans="1:11" x14ac:dyDescent="0.3">
      <c r="A380" t="s">
        <v>404</v>
      </c>
      <c r="B380" s="81">
        <v>45785</v>
      </c>
      <c r="C380" t="s">
        <v>12</v>
      </c>
      <c r="D380" t="s">
        <v>33</v>
      </c>
      <c r="E380" t="s">
        <v>24</v>
      </c>
      <c r="F380">
        <v>1</v>
      </c>
      <c r="G380">
        <v>882.03</v>
      </c>
      <c r="H380">
        <v>0.15</v>
      </c>
      <c r="I380">
        <v>749.72</v>
      </c>
      <c r="J380">
        <v>531.01</v>
      </c>
      <c r="K380">
        <v>218.71</v>
      </c>
    </row>
    <row r="381" spans="1:11" x14ac:dyDescent="0.3">
      <c r="A381" t="s">
        <v>405</v>
      </c>
      <c r="B381" s="81">
        <v>45949</v>
      </c>
      <c r="C381" t="s">
        <v>12</v>
      </c>
      <c r="D381" t="s">
        <v>33</v>
      </c>
      <c r="E381" t="s">
        <v>34</v>
      </c>
      <c r="F381">
        <v>9</v>
      </c>
      <c r="G381">
        <v>315.02999999999997</v>
      </c>
      <c r="H381">
        <v>0.1</v>
      </c>
      <c r="I381">
        <v>2551.6999999999998</v>
      </c>
      <c r="J381">
        <v>1368.91</v>
      </c>
      <c r="K381">
        <v>1182.79</v>
      </c>
    </row>
    <row r="382" spans="1:11" x14ac:dyDescent="0.3">
      <c r="A382" t="s">
        <v>406</v>
      </c>
      <c r="B382" s="81">
        <v>45892</v>
      </c>
      <c r="C382" t="s">
        <v>16</v>
      </c>
      <c r="D382" t="s">
        <v>13</v>
      </c>
      <c r="E382" t="s">
        <v>14</v>
      </c>
      <c r="F382">
        <v>10</v>
      </c>
      <c r="G382">
        <v>884.63</v>
      </c>
      <c r="H382">
        <v>0.05</v>
      </c>
      <c r="I382">
        <v>8404</v>
      </c>
      <c r="J382">
        <v>6099.28</v>
      </c>
      <c r="K382">
        <v>2304.7199999999998</v>
      </c>
    </row>
    <row r="383" spans="1:11" x14ac:dyDescent="0.3">
      <c r="A383" t="s">
        <v>407</v>
      </c>
      <c r="B383" s="81">
        <v>45716</v>
      </c>
      <c r="C383" t="s">
        <v>28</v>
      </c>
      <c r="D383" t="s">
        <v>17</v>
      </c>
      <c r="E383" t="s">
        <v>34</v>
      </c>
      <c r="F383">
        <v>3</v>
      </c>
      <c r="G383">
        <v>258.02</v>
      </c>
      <c r="H383">
        <v>0.05</v>
      </c>
      <c r="I383">
        <v>735.36</v>
      </c>
      <c r="J383">
        <v>519.78</v>
      </c>
      <c r="K383">
        <v>215.59</v>
      </c>
    </row>
    <row r="384" spans="1:11" x14ac:dyDescent="0.3">
      <c r="A384" t="s">
        <v>408</v>
      </c>
      <c r="B384" s="81">
        <v>45930</v>
      </c>
      <c r="C384" t="s">
        <v>21</v>
      </c>
      <c r="D384" t="s">
        <v>17</v>
      </c>
      <c r="E384" t="s">
        <v>22</v>
      </c>
      <c r="F384">
        <v>8</v>
      </c>
      <c r="G384">
        <v>16.82</v>
      </c>
      <c r="H384">
        <v>0.1</v>
      </c>
      <c r="I384">
        <v>121.12</v>
      </c>
      <c r="J384">
        <v>82.73</v>
      </c>
      <c r="K384">
        <v>38.39</v>
      </c>
    </row>
    <row r="385" spans="1:11" x14ac:dyDescent="0.3">
      <c r="A385" t="s">
        <v>409</v>
      </c>
      <c r="B385" s="81">
        <v>45726</v>
      </c>
      <c r="C385" t="s">
        <v>21</v>
      </c>
      <c r="D385" t="s">
        <v>33</v>
      </c>
      <c r="E385" t="s">
        <v>14</v>
      </c>
      <c r="F385">
        <v>8</v>
      </c>
      <c r="G385">
        <v>295.22000000000003</v>
      </c>
      <c r="H385">
        <v>0</v>
      </c>
      <c r="I385">
        <v>2361.79</v>
      </c>
      <c r="J385">
        <v>1119.1300000000001</v>
      </c>
      <c r="K385">
        <v>1242.6600000000001</v>
      </c>
    </row>
    <row r="386" spans="1:11" x14ac:dyDescent="0.3">
      <c r="A386" t="s">
        <v>410</v>
      </c>
      <c r="B386" s="81">
        <v>45865</v>
      </c>
      <c r="C386" t="s">
        <v>12</v>
      </c>
      <c r="D386" t="s">
        <v>17</v>
      </c>
      <c r="E386" t="s">
        <v>18</v>
      </c>
      <c r="F386">
        <v>11</v>
      </c>
      <c r="G386">
        <v>570.09</v>
      </c>
      <c r="H386">
        <v>0.15</v>
      </c>
      <c r="I386">
        <v>5330.37</v>
      </c>
      <c r="J386">
        <v>3938.25</v>
      </c>
      <c r="K386">
        <v>1392.12</v>
      </c>
    </row>
    <row r="387" spans="1:11" x14ac:dyDescent="0.3">
      <c r="A387" t="s">
        <v>411</v>
      </c>
      <c r="B387" s="81">
        <v>46014</v>
      </c>
      <c r="C387" t="s">
        <v>21</v>
      </c>
      <c r="D387" t="s">
        <v>33</v>
      </c>
      <c r="E387" t="s">
        <v>31</v>
      </c>
      <c r="F387">
        <v>5</v>
      </c>
      <c r="G387">
        <v>532.65</v>
      </c>
      <c r="H387">
        <v>0.1</v>
      </c>
      <c r="I387">
        <v>2396.9</v>
      </c>
      <c r="J387">
        <v>1231.1300000000001</v>
      </c>
      <c r="K387">
        <v>1165.77</v>
      </c>
    </row>
    <row r="388" spans="1:11" x14ac:dyDescent="0.3">
      <c r="A388" t="s">
        <v>412</v>
      </c>
      <c r="B388" s="81">
        <v>45738</v>
      </c>
      <c r="C388" t="s">
        <v>28</v>
      </c>
      <c r="D388" t="s">
        <v>33</v>
      </c>
      <c r="E388" t="s">
        <v>14</v>
      </c>
      <c r="F388">
        <v>11</v>
      </c>
      <c r="G388">
        <v>773.7</v>
      </c>
      <c r="H388">
        <v>0.2</v>
      </c>
      <c r="I388">
        <v>6808.54</v>
      </c>
      <c r="J388">
        <v>5047</v>
      </c>
      <c r="K388">
        <v>1761.54</v>
      </c>
    </row>
    <row r="389" spans="1:11" x14ac:dyDescent="0.3">
      <c r="A389" t="s">
        <v>413</v>
      </c>
      <c r="B389" s="81">
        <v>45975</v>
      </c>
      <c r="C389" t="s">
        <v>28</v>
      </c>
      <c r="D389" t="s">
        <v>13</v>
      </c>
      <c r="E389" t="s">
        <v>18</v>
      </c>
      <c r="F389">
        <v>1</v>
      </c>
      <c r="G389">
        <v>109.77</v>
      </c>
      <c r="H389">
        <v>0.05</v>
      </c>
      <c r="I389">
        <v>104.28</v>
      </c>
      <c r="J389">
        <v>61.3</v>
      </c>
      <c r="K389">
        <v>42.98</v>
      </c>
    </row>
    <row r="390" spans="1:11" x14ac:dyDescent="0.3">
      <c r="A390" t="s">
        <v>414</v>
      </c>
      <c r="B390" s="81">
        <v>45671</v>
      </c>
      <c r="C390" t="s">
        <v>21</v>
      </c>
      <c r="D390" t="s">
        <v>17</v>
      </c>
      <c r="E390" t="s">
        <v>26</v>
      </c>
      <c r="F390">
        <v>5</v>
      </c>
      <c r="G390">
        <v>377.6</v>
      </c>
      <c r="H390">
        <v>0.05</v>
      </c>
      <c r="I390">
        <v>1793.6</v>
      </c>
      <c r="J390">
        <v>1301.1300000000001</v>
      </c>
      <c r="K390">
        <v>492.47</v>
      </c>
    </row>
    <row r="391" spans="1:11" x14ac:dyDescent="0.3">
      <c r="A391" t="s">
        <v>415</v>
      </c>
      <c r="B391" s="81">
        <v>45971</v>
      </c>
      <c r="C391" t="s">
        <v>12</v>
      </c>
      <c r="D391" t="s">
        <v>33</v>
      </c>
      <c r="E391" t="s">
        <v>31</v>
      </c>
      <c r="F391">
        <v>2</v>
      </c>
      <c r="G391">
        <v>123.73</v>
      </c>
      <c r="H391">
        <v>0.05</v>
      </c>
      <c r="I391">
        <v>235.09</v>
      </c>
      <c r="J391">
        <v>172.53</v>
      </c>
      <c r="K391">
        <v>62.56</v>
      </c>
    </row>
    <row r="392" spans="1:11" x14ac:dyDescent="0.3">
      <c r="A392" t="s">
        <v>416</v>
      </c>
      <c r="B392" s="81">
        <v>45988</v>
      </c>
      <c r="C392" t="s">
        <v>28</v>
      </c>
      <c r="D392" t="s">
        <v>33</v>
      </c>
      <c r="E392" t="s">
        <v>26</v>
      </c>
      <c r="F392">
        <v>10</v>
      </c>
      <c r="G392">
        <v>795.01</v>
      </c>
      <c r="H392">
        <v>0.2</v>
      </c>
      <c r="I392">
        <v>6360.07</v>
      </c>
      <c r="J392">
        <v>4754.05</v>
      </c>
      <c r="K392">
        <v>1606.01</v>
      </c>
    </row>
    <row r="393" spans="1:11" x14ac:dyDescent="0.3">
      <c r="A393" t="s">
        <v>417</v>
      </c>
      <c r="B393" s="81">
        <v>46018</v>
      </c>
      <c r="C393" t="s">
        <v>16</v>
      </c>
      <c r="D393" t="s">
        <v>13</v>
      </c>
      <c r="E393" t="s">
        <v>29</v>
      </c>
      <c r="F393">
        <v>10</v>
      </c>
      <c r="G393">
        <v>867.32</v>
      </c>
      <c r="H393">
        <v>0.1</v>
      </c>
      <c r="I393">
        <v>7805.88</v>
      </c>
      <c r="J393">
        <v>5092.7</v>
      </c>
      <c r="K393">
        <v>2713.19</v>
      </c>
    </row>
    <row r="394" spans="1:11" x14ac:dyDescent="0.3">
      <c r="A394" t="s">
        <v>418</v>
      </c>
      <c r="B394" s="81">
        <v>45951</v>
      </c>
      <c r="C394" t="s">
        <v>21</v>
      </c>
      <c r="D394" t="s">
        <v>33</v>
      </c>
      <c r="E394" t="s">
        <v>14</v>
      </c>
      <c r="F394">
        <v>4</v>
      </c>
      <c r="G394">
        <v>583.79999999999995</v>
      </c>
      <c r="H394">
        <v>0.1</v>
      </c>
      <c r="I394">
        <v>2101.6799999999998</v>
      </c>
      <c r="J394">
        <v>1507.18</v>
      </c>
      <c r="K394">
        <v>594.5</v>
      </c>
    </row>
    <row r="395" spans="1:11" x14ac:dyDescent="0.3">
      <c r="A395" t="s">
        <v>419</v>
      </c>
      <c r="B395" s="81">
        <v>45802</v>
      </c>
      <c r="C395" t="s">
        <v>16</v>
      </c>
      <c r="D395" t="s">
        <v>13</v>
      </c>
      <c r="E395" t="s">
        <v>29</v>
      </c>
      <c r="F395">
        <v>5</v>
      </c>
      <c r="G395">
        <v>807.72</v>
      </c>
      <c r="H395">
        <v>0.05</v>
      </c>
      <c r="I395">
        <v>3836.69</v>
      </c>
      <c r="J395">
        <v>2469.31</v>
      </c>
      <c r="K395">
        <v>1367.38</v>
      </c>
    </row>
    <row r="396" spans="1:11" x14ac:dyDescent="0.3">
      <c r="A396" t="s">
        <v>420</v>
      </c>
      <c r="B396" s="81">
        <v>45791</v>
      </c>
      <c r="C396" t="s">
        <v>21</v>
      </c>
      <c r="D396" t="s">
        <v>33</v>
      </c>
      <c r="E396" t="s">
        <v>22</v>
      </c>
      <c r="F396">
        <v>9</v>
      </c>
      <c r="G396">
        <v>694.45</v>
      </c>
      <c r="H396">
        <v>0.05</v>
      </c>
      <c r="I396">
        <v>5937.59</v>
      </c>
      <c r="J396">
        <v>3663.39</v>
      </c>
      <c r="K396">
        <v>2274.1999999999998</v>
      </c>
    </row>
    <row r="397" spans="1:11" x14ac:dyDescent="0.3">
      <c r="A397" t="s">
        <v>421</v>
      </c>
      <c r="B397" s="81">
        <v>45855</v>
      </c>
      <c r="C397" t="s">
        <v>12</v>
      </c>
      <c r="D397" t="s">
        <v>33</v>
      </c>
      <c r="E397" t="s">
        <v>24</v>
      </c>
      <c r="F397">
        <v>3</v>
      </c>
      <c r="G397">
        <v>85.61</v>
      </c>
      <c r="H397">
        <v>0</v>
      </c>
      <c r="I397">
        <v>256.83999999999997</v>
      </c>
      <c r="J397">
        <v>177.56</v>
      </c>
      <c r="K397">
        <v>79.290000000000006</v>
      </c>
    </row>
    <row r="398" spans="1:11" x14ac:dyDescent="0.3">
      <c r="A398" t="s">
        <v>422</v>
      </c>
      <c r="B398" s="81">
        <v>45903</v>
      </c>
      <c r="C398" t="s">
        <v>16</v>
      </c>
      <c r="D398" t="s">
        <v>13</v>
      </c>
      <c r="E398" t="s">
        <v>34</v>
      </c>
      <c r="F398">
        <v>6</v>
      </c>
      <c r="G398">
        <v>33.54</v>
      </c>
      <c r="H398">
        <v>0</v>
      </c>
      <c r="I398">
        <v>201.23</v>
      </c>
      <c r="J398">
        <v>105.98</v>
      </c>
      <c r="K398">
        <v>95.24</v>
      </c>
    </row>
    <row r="399" spans="1:11" x14ac:dyDescent="0.3">
      <c r="A399" t="s">
        <v>423</v>
      </c>
      <c r="B399" s="81">
        <v>45776</v>
      </c>
      <c r="C399" t="s">
        <v>21</v>
      </c>
      <c r="D399" t="s">
        <v>17</v>
      </c>
      <c r="E399" t="s">
        <v>18</v>
      </c>
      <c r="F399">
        <v>1</v>
      </c>
      <c r="G399">
        <v>807.72</v>
      </c>
      <c r="H399">
        <v>0</v>
      </c>
      <c r="I399">
        <v>807.72</v>
      </c>
      <c r="J399">
        <v>364.76</v>
      </c>
      <c r="K399">
        <v>442.96</v>
      </c>
    </row>
    <row r="400" spans="1:11" x14ac:dyDescent="0.3">
      <c r="A400" t="s">
        <v>424</v>
      </c>
      <c r="B400" s="81">
        <v>45861</v>
      </c>
      <c r="C400" t="s">
        <v>28</v>
      </c>
      <c r="D400" t="s">
        <v>17</v>
      </c>
      <c r="E400" t="s">
        <v>24</v>
      </c>
      <c r="F400">
        <v>3</v>
      </c>
      <c r="G400">
        <v>142.75</v>
      </c>
      <c r="H400">
        <v>0</v>
      </c>
      <c r="I400">
        <v>428.25</v>
      </c>
      <c r="J400">
        <v>252.51</v>
      </c>
      <c r="K400">
        <v>175.74</v>
      </c>
    </row>
    <row r="401" spans="1:11" x14ac:dyDescent="0.3">
      <c r="A401" t="s">
        <v>425</v>
      </c>
      <c r="B401" s="81">
        <v>45862</v>
      </c>
      <c r="C401" t="s">
        <v>16</v>
      </c>
      <c r="D401" t="s">
        <v>13</v>
      </c>
      <c r="E401" t="s">
        <v>24</v>
      </c>
      <c r="F401">
        <v>11</v>
      </c>
      <c r="G401">
        <v>105.32</v>
      </c>
      <c r="H401">
        <v>0</v>
      </c>
      <c r="I401">
        <v>1158.49</v>
      </c>
      <c r="J401">
        <v>663.84</v>
      </c>
      <c r="K401">
        <v>494.65</v>
      </c>
    </row>
    <row r="402" spans="1:11" x14ac:dyDescent="0.3">
      <c r="A402" t="s">
        <v>426</v>
      </c>
      <c r="B402" s="81">
        <v>45865</v>
      </c>
      <c r="C402" t="s">
        <v>16</v>
      </c>
      <c r="D402" t="s">
        <v>33</v>
      </c>
      <c r="E402" t="s">
        <v>24</v>
      </c>
      <c r="F402">
        <v>2</v>
      </c>
      <c r="G402">
        <v>246.03</v>
      </c>
      <c r="H402">
        <v>0.15</v>
      </c>
      <c r="I402">
        <v>418.24</v>
      </c>
      <c r="J402">
        <v>289.3</v>
      </c>
      <c r="K402">
        <v>128.94</v>
      </c>
    </row>
    <row r="403" spans="1:11" x14ac:dyDescent="0.3">
      <c r="A403" t="s">
        <v>427</v>
      </c>
      <c r="B403" s="81">
        <v>45776</v>
      </c>
      <c r="C403" t="s">
        <v>21</v>
      </c>
      <c r="D403" t="s">
        <v>33</v>
      </c>
      <c r="E403" t="s">
        <v>22</v>
      </c>
      <c r="F403">
        <v>5</v>
      </c>
      <c r="G403">
        <v>627.51</v>
      </c>
      <c r="H403">
        <v>0.1</v>
      </c>
      <c r="I403">
        <v>2823.8</v>
      </c>
      <c r="J403">
        <v>1892</v>
      </c>
      <c r="K403">
        <v>931.81</v>
      </c>
    </row>
    <row r="404" spans="1:11" x14ac:dyDescent="0.3">
      <c r="A404" t="s">
        <v>428</v>
      </c>
      <c r="B404" s="81">
        <v>45941</v>
      </c>
      <c r="C404" t="s">
        <v>21</v>
      </c>
      <c r="D404" t="s">
        <v>17</v>
      </c>
      <c r="E404" t="s">
        <v>34</v>
      </c>
      <c r="F404">
        <v>3</v>
      </c>
      <c r="G404">
        <v>711.67</v>
      </c>
      <c r="H404">
        <v>0</v>
      </c>
      <c r="I404">
        <v>2135.0100000000002</v>
      </c>
      <c r="J404">
        <v>1562.8</v>
      </c>
      <c r="K404">
        <v>572.21</v>
      </c>
    </row>
    <row r="405" spans="1:11" x14ac:dyDescent="0.3">
      <c r="A405" t="s">
        <v>429</v>
      </c>
      <c r="B405" s="81">
        <v>45901</v>
      </c>
      <c r="C405" t="s">
        <v>16</v>
      </c>
      <c r="D405" t="s">
        <v>17</v>
      </c>
      <c r="E405" t="s">
        <v>31</v>
      </c>
      <c r="F405">
        <v>6</v>
      </c>
      <c r="G405">
        <v>734.78</v>
      </c>
      <c r="H405">
        <v>0</v>
      </c>
      <c r="I405">
        <v>4408.6499999999996</v>
      </c>
      <c r="J405">
        <v>3469.04</v>
      </c>
      <c r="K405">
        <v>939.62</v>
      </c>
    </row>
    <row r="406" spans="1:11" x14ac:dyDescent="0.3">
      <c r="A406" t="s">
        <v>430</v>
      </c>
      <c r="B406" s="81">
        <v>45881</v>
      </c>
      <c r="C406" t="s">
        <v>21</v>
      </c>
      <c r="D406" t="s">
        <v>17</v>
      </c>
      <c r="E406" t="s">
        <v>18</v>
      </c>
      <c r="F406">
        <v>2</v>
      </c>
      <c r="G406">
        <v>688.74</v>
      </c>
      <c r="H406">
        <v>0.15</v>
      </c>
      <c r="I406">
        <v>1170.8599999999999</v>
      </c>
      <c r="J406">
        <v>663.73</v>
      </c>
      <c r="K406">
        <v>507.13</v>
      </c>
    </row>
    <row r="407" spans="1:11" x14ac:dyDescent="0.3">
      <c r="A407" t="s">
        <v>431</v>
      </c>
      <c r="B407" s="81">
        <v>45827</v>
      </c>
      <c r="C407" t="s">
        <v>12</v>
      </c>
      <c r="D407" t="s">
        <v>13</v>
      </c>
      <c r="E407" t="s">
        <v>18</v>
      </c>
      <c r="F407">
        <v>6</v>
      </c>
      <c r="G407">
        <v>569.78</v>
      </c>
      <c r="H407">
        <v>0.15</v>
      </c>
      <c r="I407">
        <v>2905.9</v>
      </c>
      <c r="J407">
        <v>1649.8</v>
      </c>
      <c r="K407">
        <v>1256.0999999999999</v>
      </c>
    </row>
    <row r="408" spans="1:11" x14ac:dyDescent="0.3">
      <c r="A408" t="s">
        <v>432</v>
      </c>
      <c r="B408" s="81">
        <v>45949</v>
      </c>
      <c r="C408" t="s">
        <v>16</v>
      </c>
      <c r="D408" t="s">
        <v>17</v>
      </c>
      <c r="E408" t="s">
        <v>24</v>
      </c>
      <c r="F408">
        <v>1</v>
      </c>
      <c r="G408">
        <v>402.64</v>
      </c>
      <c r="H408">
        <v>0</v>
      </c>
      <c r="I408">
        <v>402.64</v>
      </c>
      <c r="J408">
        <v>269.38</v>
      </c>
      <c r="K408">
        <v>133.26</v>
      </c>
    </row>
    <row r="409" spans="1:11" x14ac:dyDescent="0.3">
      <c r="A409" t="s">
        <v>433</v>
      </c>
      <c r="B409" s="81">
        <v>45918</v>
      </c>
      <c r="C409" t="s">
        <v>21</v>
      </c>
      <c r="D409" t="s">
        <v>17</v>
      </c>
      <c r="E409" t="s">
        <v>29</v>
      </c>
      <c r="F409">
        <v>10</v>
      </c>
      <c r="G409">
        <v>811.12</v>
      </c>
      <c r="H409">
        <v>0</v>
      </c>
      <c r="I409">
        <v>8111.19</v>
      </c>
      <c r="J409">
        <v>4286.3900000000003</v>
      </c>
      <c r="K409">
        <v>3824.8</v>
      </c>
    </row>
    <row r="410" spans="1:11" x14ac:dyDescent="0.3">
      <c r="A410" t="s">
        <v>434</v>
      </c>
      <c r="B410" s="81">
        <v>45825</v>
      </c>
      <c r="C410" t="s">
        <v>16</v>
      </c>
      <c r="D410" t="s">
        <v>33</v>
      </c>
      <c r="E410" t="s">
        <v>22</v>
      </c>
      <c r="F410">
        <v>2</v>
      </c>
      <c r="G410">
        <v>436.19</v>
      </c>
      <c r="H410">
        <v>0.1</v>
      </c>
      <c r="I410">
        <v>785.14</v>
      </c>
      <c r="J410">
        <v>417.05</v>
      </c>
      <c r="K410">
        <v>368.09</v>
      </c>
    </row>
    <row r="411" spans="1:11" x14ac:dyDescent="0.3">
      <c r="A411" t="s">
        <v>435</v>
      </c>
      <c r="B411" s="81">
        <v>45700</v>
      </c>
      <c r="C411" t="s">
        <v>21</v>
      </c>
      <c r="D411" t="s">
        <v>33</v>
      </c>
      <c r="E411" t="s">
        <v>18</v>
      </c>
      <c r="F411">
        <v>11</v>
      </c>
      <c r="G411">
        <v>209.81</v>
      </c>
      <c r="H411">
        <v>0.15</v>
      </c>
      <c r="I411">
        <v>1961.68</v>
      </c>
      <c r="J411">
        <v>1164.03</v>
      </c>
      <c r="K411">
        <v>797.66</v>
      </c>
    </row>
    <row r="412" spans="1:11" x14ac:dyDescent="0.3">
      <c r="A412" t="s">
        <v>436</v>
      </c>
      <c r="B412" s="81">
        <v>45830</v>
      </c>
      <c r="C412" t="s">
        <v>12</v>
      </c>
      <c r="D412" t="s">
        <v>13</v>
      </c>
      <c r="E412" t="s">
        <v>22</v>
      </c>
      <c r="F412">
        <v>9</v>
      </c>
      <c r="G412">
        <v>711.5</v>
      </c>
      <c r="H412">
        <v>0</v>
      </c>
      <c r="I412">
        <v>6403.49</v>
      </c>
      <c r="J412">
        <v>3490.35</v>
      </c>
      <c r="K412">
        <v>2913.14</v>
      </c>
    </row>
    <row r="413" spans="1:11" x14ac:dyDescent="0.3">
      <c r="A413" t="s">
        <v>437</v>
      </c>
      <c r="B413" s="81">
        <v>45846</v>
      </c>
      <c r="C413" t="s">
        <v>21</v>
      </c>
      <c r="D413" t="s">
        <v>13</v>
      </c>
      <c r="E413" t="s">
        <v>24</v>
      </c>
      <c r="F413">
        <v>1</v>
      </c>
      <c r="G413">
        <v>571.84</v>
      </c>
      <c r="H413">
        <v>0.1</v>
      </c>
      <c r="I413">
        <v>514.66</v>
      </c>
      <c r="J413">
        <v>359.86</v>
      </c>
      <c r="K413">
        <v>154.80000000000001</v>
      </c>
    </row>
    <row r="414" spans="1:11" x14ac:dyDescent="0.3">
      <c r="A414" t="s">
        <v>438</v>
      </c>
      <c r="B414" s="81">
        <v>45782</v>
      </c>
      <c r="C414" t="s">
        <v>21</v>
      </c>
      <c r="D414" t="s">
        <v>33</v>
      </c>
      <c r="E414" t="s">
        <v>26</v>
      </c>
      <c r="F414">
        <v>2</v>
      </c>
      <c r="G414">
        <v>404.54</v>
      </c>
      <c r="H414">
        <v>0.05</v>
      </c>
      <c r="I414">
        <v>768.63</v>
      </c>
      <c r="J414">
        <v>501.46</v>
      </c>
      <c r="K414">
        <v>267.17</v>
      </c>
    </row>
    <row r="415" spans="1:11" x14ac:dyDescent="0.3">
      <c r="A415" t="s">
        <v>439</v>
      </c>
      <c r="B415" s="81">
        <v>45773</v>
      </c>
      <c r="C415" t="s">
        <v>21</v>
      </c>
      <c r="D415" t="s">
        <v>17</v>
      </c>
      <c r="E415" t="s">
        <v>24</v>
      </c>
      <c r="F415">
        <v>2</v>
      </c>
      <c r="G415">
        <v>66.11</v>
      </c>
      <c r="H415">
        <v>0.05</v>
      </c>
      <c r="I415">
        <v>125.61</v>
      </c>
      <c r="J415">
        <v>92.26</v>
      </c>
      <c r="K415">
        <v>33.35</v>
      </c>
    </row>
    <row r="416" spans="1:11" x14ac:dyDescent="0.3">
      <c r="A416" t="s">
        <v>440</v>
      </c>
      <c r="B416" s="81">
        <v>45673</v>
      </c>
      <c r="C416" t="s">
        <v>28</v>
      </c>
      <c r="D416" t="s">
        <v>17</v>
      </c>
      <c r="E416" t="s">
        <v>34</v>
      </c>
      <c r="F416">
        <v>4</v>
      </c>
      <c r="G416">
        <v>661.24</v>
      </c>
      <c r="H416">
        <v>0</v>
      </c>
      <c r="I416">
        <v>2644.96</v>
      </c>
      <c r="J416">
        <v>2081.59</v>
      </c>
      <c r="K416">
        <v>563.37</v>
      </c>
    </row>
    <row r="417" spans="1:11" x14ac:dyDescent="0.3">
      <c r="A417" t="s">
        <v>441</v>
      </c>
      <c r="B417" s="81">
        <v>45722</v>
      </c>
      <c r="C417" t="s">
        <v>28</v>
      </c>
      <c r="D417" t="s">
        <v>33</v>
      </c>
      <c r="E417" t="s">
        <v>22</v>
      </c>
      <c r="F417">
        <v>3</v>
      </c>
      <c r="G417">
        <v>617.39</v>
      </c>
      <c r="H417">
        <v>0.2</v>
      </c>
      <c r="I417">
        <v>1481.74</v>
      </c>
      <c r="J417">
        <v>713.36</v>
      </c>
      <c r="K417">
        <v>768.38</v>
      </c>
    </row>
    <row r="418" spans="1:11" x14ac:dyDescent="0.3">
      <c r="A418" t="s">
        <v>442</v>
      </c>
      <c r="B418" s="81">
        <v>45698</v>
      </c>
      <c r="C418" t="s">
        <v>21</v>
      </c>
      <c r="D418" t="s">
        <v>13</v>
      </c>
      <c r="E418" t="s">
        <v>22</v>
      </c>
      <c r="F418">
        <v>8</v>
      </c>
      <c r="G418">
        <v>387.56</v>
      </c>
      <c r="H418">
        <v>0.05</v>
      </c>
      <c r="I418">
        <v>2945.42</v>
      </c>
      <c r="J418">
        <v>1452.73</v>
      </c>
      <c r="K418">
        <v>1492.69</v>
      </c>
    </row>
    <row r="419" spans="1:11" x14ac:dyDescent="0.3">
      <c r="A419" t="s">
        <v>443</v>
      </c>
      <c r="B419" s="81">
        <v>45789</v>
      </c>
      <c r="C419" t="s">
        <v>21</v>
      </c>
      <c r="D419" t="s">
        <v>17</v>
      </c>
      <c r="E419" t="s">
        <v>24</v>
      </c>
      <c r="F419">
        <v>9</v>
      </c>
      <c r="G419">
        <v>279.61</v>
      </c>
      <c r="H419">
        <v>0.05</v>
      </c>
      <c r="I419">
        <v>2390.66</v>
      </c>
      <c r="J419">
        <v>1667.25</v>
      </c>
      <c r="K419">
        <v>723.41</v>
      </c>
    </row>
    <row r="420" spans="1:11" x14ac:dyDescent="0.3">
      <c r="A420" t="s">
        <v>444</v>
      </c>
      <c r="B420" s="81">
        <v>45900</v>
      </c>
      <c r="C420" t="s">
        <v>28</v>
      </c>
      <c r="D420" t="s">
        <v>17</v>
      </c>
      <c r="E420" t="s">
        <v>31</v>
      </c>
      <c r="F420">
        <v>7</v>
      </c>
      <c r="G420">
        <v>143.38999999999999</v>
      </c>
      <c r="H420">
        <v>0.2</v>
      </c>
      <c r="I420">
        <v>803.01</v>
      </c>
      <c r="J420">
        <v>524.04999999999995</v>
      </c>
      <c r="K420">
        <v>278.95999999999998</v>
      </c>
    </row>
    <row r="421" spans="1:11" x14ac:dyDescent="0.3">
      <c r="A421" t="s">
        <v>445</v>
      </c>
      <c r="B421" s="81">
        <v>46007</v>
      </c>
      <c r="C421" t="s">
        <v>28</v>
      </c>
      <c r="D421" t="s">
        <v>13</v>
      </c>
      <c r="E421" t="s">
        <v>22</v>
      </c>
      <c r="F421">
        <v>4</v>
      </c>
      <c r="G421">
        <v>738.38</v>
      </c>
      <c r="H421">
        <v>0.05</v>
      </c>
      <c r="I421">
        <v>2805.85</v>
      </c>
      <c r="J421">
        <v>1359.22</v>
      </c>
      <c r="K421">
        <v>1446.63</v>
      </c>
    </row>
    <row r="422" spans="1:11" x14ac:dyDescent="0.3">
      <c r="A422" t="s">
        <v>446</v>
      </c>
      <c r="B422" s="81">
        <v>45782</v>
      </c>
      <c r="C422" t="s">
        <v>21</v>
      </c>
      <c r="D422" t="s">
        <v>13</v>
      </c>
      <c r="E422" t="s">
        <v>26</v>
      </c>
      <c r="F422">
        <v>11</v>
      </c>
      <c r="G422">
        <v>867.36</v>
      </c>
      <c r="H422">
        <v>0.2</v>
      </c>
      <c r="I422">
        <v>7632.76</v>
      </c>
      <c r="J422">
        <v>4677.93</v>
      </c>
      <c r="K422">
        <v>2954.82</v>
      </c>
    </row>
    <row r="423" spans="1:11" x14ac:dyDescent="0.3">
      <c r="A423" t="s">
        <v>447</v>
      </c>
      <c r="B423" s="81">
        <v>45862</v>
      </c>
      <c r="C423" t="s">
        <v>16</v>
      </c>
      <c r="D423" t="s">
        <v>17</v>
      </c>
      <c r="E423" t="s">
        <v>34</v>
      </c>
      <c r="F423">
        <v>9</v>
      </c>
      <c r="G423">
        <v>54.33</v>
      </c>
      <c r="H423">
        <v>0</v>
      </c>
      <c r="I423">
        <v>488.93</v>
      </c>
      <c r="J423">
        <v>318.81</v>
      </c>
      <c r="K423">
        <v>170.12</v>
      </c>
    </row>
    <row r="424" spans="1:11" x14ac:dyDescent="0.3">
      <c r="A424" t="s">
        <v>448</v>
      </c>
      <c r="B424" s="81">
        <v>45751</v>
      </c>
      <c r="C424" t="s">
        <v>28</v>
      </c>
      <c r="D424" t="s">
        <v>17</v>
      </c>
      <c r="E424" t="s">
        <v>26</v>
      </c>
      <c r="F424">
        <v>3</v>
      </c>
      <c r="G424">
        <v>677.63</v>
      </c>
      <c r="H424">
        <v>0.15</v>
      </c>
      <c r="I424">
        <v>1727.95</v>
      </c>
      <c r="J424">
        <v>866.54</v>
      </c>
      <c r="K424">
        <v>861.41</v>
      </c>
    </row>
    <row r="425" spans="1:11" x14ac:dyDescent="0.3">
      <c r="A425" t="s">
        <v>449</v>
      </c>
      <c r="B425" s="81">
        <v>45662</v>
      </c>
      <c r="C425" t="s">
        <v>28</v>
      </c>
      <c r="D425" t="s">
        <v>13</v>
      </c>
      <c r="E425" t="s">
        <v>31</v>
      </c>
      <c r="F425">
        <v>9</v>
      </c>
      <c r="G425">
        <v>230.64</v>
      </c>
      <c r="H425">
        <v>0.05</v>
      </c>
      <c r="I425">
        <v>1971.95</v>
      </c>
      <c r="J425">
        <v>1258.1500000000001</v>
      </c>
      <c r="K425">
        <v>713.79</v>
      </c>
    </row>
    <row r="426" spans="1:11" x14ac:dyDescent="0.3">
      <c r="A426" t="s">
        <v>450</v>
      </c>
      <c r="B426" s="81">
        <v>45949</v>
      </c>
      <c r="C426" t="s">
        <v>21</v>
      </c>
      <c r="D426" t="s">
        <v>33</v>
      </c>
      <c r="E426" t="s">
        <v>24</v>
      </c>
      <c r="F426">
        <v>9</v>
      </c>
      <c r="G426">
        <v>888.01</v>
      </c>
      <c r="H426">
        <v>0.05</v>
      </c>
      <c r="I426">
        <v>7592.46</v>
      </c>
      <c r="J426">
        <v>5857.4</v>
      </c>
      <c r="K426">
        <v>1735.05</v>
      </c>
    </row>
    <row r="427" spans="1:11" x14ac:dyDescent="0.3">
      <c r="A427" t="s">
        <v>451</v>
      </c>
      <c r="B427" s="81">
        <v>45925</v>
      </c>
      <c r="C427" t="s">
        <v>28</v>
      </c>
      <c r="D427" t="s">
        <v>17</v>
      </c>
      <c r="E427" t="s">
        <v>26</v>
      </c>
      <c r="F427">
        <v>6</v>
      </c>
      <c r="G427">
        <v>854.56</v>
      </c>
      <c r="H427">
        <v>0.15</v>
      </c>
      <c r="I427">
        <v>4358.2700000000004</v>
      </c>
      <c r="J427">
        <v>3171.44</v>
      </c>
      <c r="K427">
        <v>1186.83</v>
      </c>
    </row>
    <row r="428" spans="1:11" x14ac:dyDescent="0.3">
      <c r="A428" t="s">
        <v>452</v>
      </c>
      <c r="B428" s="81">
        <v>45981</v>
      </c>
      <c r="C428" t="s">
        <v>16</v>
      </c>
      <c r="D428" t="s">
        <v>13</v>
      </c>
      <c r="E428" t="s">
        <v>22</v>
      </c>
      <c r="F428">
        <v>11</v>
      </c>
      <c r="G428">
        <v>207.08</v>
      </c>
      <c r="H428">
        <v>0.05</v>
      </c>
      <c r="I428">
        <v>2164.02</v>
      </c>
      <c r="J428">
        <v>1304.95</v>
      </c>
      <c r="K428">
        <v>859.07</v>
      </c>
    </row>
    <row r="429" spans="1:11" x14ac:dyDescent="0.3">
      <c r="A429" t="s">
        <v>453</v>
      </c>
      <c r="B429" s="81">
        <v>45874</v>
      </c>
      <c r="C429" t="s">
        <v>16</v>
      </c>
      <c r="D429" t="s">
        <v>33</v>
      </c>
      <c r="E429" t="s">
        <v>31</v>
      </c>
      <c r="F429">
        <v>1</v>
      </c>
      <c r="G429">
        <v>632.45000000000005</v>
      </c>
      <c r="H429">
        <v>0.05</v>
      </c>
      <c r="I429">
        <v>600.83000000000004</v>
      </c>
      <c r="J429">
        <v>383.48</v>
      </c>
      <c r="K429">
        <v>217.35</v>
      </c>
    </row>
    <row r="430" spans="1:11" x14ac:dyDescent="0.3">
      <c r="A430" t="s">
        <v>454</v>
      </c>
      <c r="B430" s="81">
        <v>45710</v>
      </c>
      <c r="C430" t="s">
        <v>16</v>
      </c>
      <c r="D430" t="s">
        <v>13</v>
      </c>
      <c r="E430" t="s">
        <v>26</v>
      </c>
      <c r="F430">
        <v>4</v>
      </c>
      <c r="G430">
        <v>237.25</v>
      </c>
      <c r="H430">
        <v>0.1</v>
      </c>
      <c r="I430">
        <v>854.1</v>
      </c>
      <c r="J430">
        <v>436.43</v>
      </c>
      <c r="K430">
        <v>417.68</v>
      </c>
    </row>
    <row r="431" spans="1:11" x14ac:dyDescent="0.3">
      <c r="A431" t="s">
        <v>455</v>
      </c>
      <c r="B431" s="81">
        <v>45673</v>
      </c>
      <c r="C431" t="s">
        <v>16</v>
      </c>
      <c r="D431" t="s">
        <v>13</v>
      </c>
      <c r="E431" t="s">
        <v>34</v>
      </c>
      <c r="F431">
        <v>6</v>
      </c>
      <c r="G431">
        <v>84.09</v>
      </c>
      <c r="H431">
        <v>0.1</v>
      </c>
      <c r="I431">
        <v>454.09</v>
      </c>
      <c r="J431">
        <v>212.02</v>
      </c>
      <c r="K431">
        <v>242.07</v>
      </c>
    </row>
    <row r="432" spans="1:11" x14ac:dyDescent="0.3">
      <c r="A432" t="s">
        <v>456</v>
      </c>
      <c r="B432" s="81">
        <v>45892</v>
      </c>
      <c r="C432" t="s">
        <v>12</v>
      </c>
      <c r="D432" t="s">
        <v>17</v>
      </c>
      <c r="E432" t="s">
        <v>34</v>
      </c>
      <c r="F432">
        <v>10</v>
      </c>
      <c r="G432">
        <v>518.13</v>
      </c>
      <c r="H432">
        <v>0</v>
      </c>
      <c r="I432">
        <v>5181.34</v>
      </c>
      <c r="J432">
        <v>3004.08</v>
      </c>
      <c r="K432">
        <v>2177.2600000000002</v>
      </c>
    </row>
    <row r="433" spans="1:11" x14ac:dyDescent="0.3">
      <c r="A433" t="s">
        <v>457</v>
      </c>
      <c r="B433" s="81">
        <v>45665</v>
      </c>
      <c r="C433" t="s">
        <v>21</v>
      </c>
      <c r="D433" t="s">
        <v>33</v>
      </c>
      <c r="E433" t="s">
        <v>14</v>
      </c>
      <c r="F433">
        <v>11</v>
      </c>
      <c r="G433">
        <v>41.71</v>
      </c>
      <c r="H433">
        <v>0</v>
      </c>
      <c r="I433">
        <v>458.81</v>
      </c>
      <c r="J433">
        <v>307.39999999999998</v>
      </c>
      <c r="K433">
        <v>151.41</v>
      </c>
    </row>
    <row r="434" spans="1:11" x14ac:dyDescent="0.3">
      <c r="A434" t="s">
        <v>458</v>
      </c>
      <c r="B434" s="81">
        <v>45779</v>
      </c>
      <c r="C434" t="s">
        <v>28</v>
      </c>
      <c r="D434" t="s">
        <v>13</v>
      </c>
      <c r="E434" t="s">
        <v>18</v>
      </c>
      <c r="F434">
        <v>4</v>
      </c>
      <c r="G434">
        <v>285.86</v>
      </c>
      <c r="H434">
        <v>0</v>
      </c>
      <c r="I434">
        <v>1143.43</v>
      </c>
      <c r="J434">
        <v>566.86</v>
      </c>
      <c r="K434">
        <v>576.57000000000005</v>
      </c>
    </row>
    <row r="435" spans="1:11" x14ac:dyDescent="0.3">
      <c r="A435" t="s">
        <v>459</v>
      </c>
      <c r="B435" s="81">
        <v>46007</v>
      </c>
      <c r="C435" t="s">
        <v>21</v>
      </c>
      <c r="D435" t="s">
        <v>13</v>
      </c>
      <c r="E435" t="s">
        <v>22</v>
      </c>
      <c r="F435">
        <v>5</v>
      </c>
      <c r="G435">
        <v>341.16</v>
      </c>
      <c r="H435">
        <v>0.05</v>
      </c>
      <c r="I435">
        <v>1620.52</v>
      </c>
      <c r="J435">
        <v>1217.02</v>
      </c>
      <c r="K435">
        <v>403.5</v>
      </c>
    </row>
    <row r="436" spans="1:11" x14ac:dyDescent="0.3">
      <c r="A436" t="s">
        <v>460</v>
      </c>
      <c r="B436" s="81">
        <v>45927</v>
      </c>
      <c r="C436" t="s">
        <v>16</v>
      </c>
      <c r="D436" t="s">
        <v>33</v>
      </c>
      <c r="E436" t="s">
        <v>31</v>
      </c>
      <c r="F436">
        <v>4</v>
      </c>
      <c r="G436">
        <v>86.56</v>
      </c>
      <c r="H436">
        <v>0</v>
      </c>
      <c r="I436">
        <v>346.26</v>
      </c>
      <c r="J436">
        <v>179.81</v>
      </c>
      <c r="K436">
        <v>166.44</v>
      </c>
    </row>
    <row r="437" spans="1:11" x14ac:dyDescent="0.3">
      <c r="A437" t="s">
        <v>461</v>
      </c>
      <c r="B437" s="81">
        <v>45926</v>
      </c>
      <c r="C437" t="s">
        <v>12</v>
      </c>
      <c r="D437" t="s">
        <v>13</v>
      </c>
      <c r="E437" t="s">
        <v>29</v>
      </c>
      <c r="F437">
        <v>3</v>
      </c>
      <c r="G437">
        <v>796.52</v>
      </c>
      <c r="H437">
        <v>0.15</v>
      </c>
      <c r="I437">
        <v>2031.13</v>
      </c>
      <c r="J437">
        <v>928.8</v>
      </c>
      <c r="K437">
        <v>1102.33</v>
      </c>
    </row>
    <row r="438" spans="1:11" x14ac:dyDescent="0.3">
      <c r="A438" t="s">
        <v>462</v>
      </c>
      <c r="B438" s="81">
        <v>45849</v>
      </c>
      <c r="C438" t="s">
        <v>16</v>
      </c>
      <c r="D438" t="s">
        <v>13</v>
      </c>
      <c r="E438" t="s">
        <v>18</v>
      </c>
      <c r="F438">
        <v>4</v>
      </c>
      <c r="G438">
        <v>833.91</v>
      </c>
      <c r="H438">
        <v>0.05</v>
      </c>
      <c r="I438">
        <v>3168.87</v>
      </c>
      <c r="J438">
        <v>2126.71</v>
      </c>
      <c r="K438">
        <v>1042.1600000000001</v>
      </c>
    </row>
    <row r="439" spans="1:11" x14ac:dyDescent="0.3">
      <c r="A439" t="s">
        <v>463</v>
      </c>
      <c r="B439" s="81">
        <v>45794</v>
      </c>
      <c r="C439" t="s">
        <v>12</v>
      </c>
      <c r="D439" t="s">
        <v>13</v>
      </c>
      <c r="E439" t="s">
        <v>18</v>
      </c>
      <c r="F439">
        <v>5</v>
      </c>
      <c r="G439">
        <v>534.87</v>
      </c>
      <c r="H439">
        <v>0</v>
      </c>
      <c r="I439">
        <v>2674.33</v>
      </c>
      <c r="J439">
        <v>1882.25</v>
      </c>
      <c r="K439">
        <v>792.08</v>
      </c>
    </row>
    <row r="440" spans="1:11" x14ac:dyDescent="0.3">
      <c r="A440" t="s">
        <v>464</v>
      </c>
      <c r="B440" s="81">
        <v>45835</v>
      </c>
      <c r="C440" t="s">
        <v>16</v>
      </c>
      <c r="D440" t="s">
        <v>17</v>
      </c>
      <c r="E440" t="s">
        <v>22</v>
      </c>
      <c r="F440">
        <v>5</v>
      </c>
      <c r="G440">
        <v>670.06</v>
      </c>
      <c r="H440">
        <v>0</v>
      </c>
      <c r="I440">
        <v>3350.28</v>
      </c>
      <c r="J440">
        <v>2139.54</v>
      </c>
      <c r="K440">
        <v>1210.74</v>
      </c>
    </row>
    <row r="441" spans="1:11" x14ac:dyDescent="0.3">
      <c r="A441" t="s">
        <v>465</v>
      </c>
      <c r="B441" s="81">
        <v>45750</v>
      </c>
      <c r="C441" t="s">
        <v>21</v>
      </c>
      <c r="D441" t="s">
        <v>17</v>
      </c>
      <c r="E441" t="s">
        <v>31</v>
      </c>
      <c r="F441">
        <v>10</v>
      </c>
      <c r="G441">
        <v>194.53</v>
      </c>
      <c r="H441">
        <v>0</v>
      </c>
      <c r="I441">
        <v>1945.25</v>
      </c>
      <c r="J441">
        <v>1067.53</v>
      </c>
      <c r="K441">
        <v>877.72</v>
      </c>
    </row>
    <row r="442" spans="1:11" x14ac:dyDescent="0.3">
      <c r="A442" t="s">
        <v>466</v>
      </c>
      <c r="B442" s="81">
        <v>45969</v>
      </c>
      <c r="C442" t="s">
        <v>28</v>
      </c>
      <c r="D442" t="s">
        <v>17</v>
      </c>
      <c r="E442" t="s">
        <v>22</v>
      </c>
      <c r="F442">
        <v>11</v>
      </c>
      <c r="G442">
        <v>635.02</v>
      </c>
      <c r="H442">
        <v>0.2</v>
      </c>
      <c r="I442">
        <v>5588.15</v>
      </c>
      <c r="J442">
        <v>4292.8900000000003</v>
      </c>
      <c r="K442">
        <v>1295.26</v>
      </c>
    </row>
    <row r="443" spans="1:11" x14ac:dyDescent="0.3">
      <c r="A443" t="s">
        <v>467</v>
      </c>
      <c r="B443" s="81">
        <v>45980</v>
      </c>
      <c r="C443" t="s">
        <v>12</v>
      </c>
      <c r="D443" t="s">
        <v>13</v>
      </c>
      <c r="E443" t="s">
        <v>22</v>
      </c>
      <c r="F443">
        <v>11</v>
      </c>
      <c r="G443">
        <v>665.71</v>
      </c>
      <c r="H443">
        <v>0.15</v>
      </c>
      <c r="I443">
        <v>6224.35</v>
      </c>
      <c r="J443">
        <v>4445.92</v>
      </c>
      <c r="K443">
        <v>1778.44</v>
      </c>
    </row>
    <row r="444" spans="1:11" x14ac:dyDescent="0.3">
      <c r="A444" t="s">
        <v>468</v>
      </c>
      <c r="B444" s="81">
        <v>45873</v>
      </c>
      <c r="C444" t="s">
        <v>21</v>
      </c>
      <c r="D444" t="s">
        <v>33</v>
      </c>
      <c r="E444" t="s">
        <v>24</v>
      </c>
      <c r="F444">
        <v>7</v>
      </c>
      <c r="G444">
        <v>277.41000000000003</v>
      </c>
      <c r="H444">
        <v>0.1</v>
      </c>
      <c r="I444">
        <v>1747.69</v>
      </c>
      <c r="J444">
        <v>1020.02</v>
      </c>
      <c r="K444">
        <v>727.67</v>
      </c>
    </row>
    <row r="445" spans="1:11" x14ac:dyDescent="0.3">
      <c r="A445" t="s">
        <v>469</v>
      </c>
      <c r="B445" s="81">
        <v>45776</v>
      </c>
      <c r="C445" t="s">
        <v>16</v>
      </c>
      <c r="D445" t="s">
        <v>33</v>
      </c>
      <c r="E445" t="s">
        <v>22</v>
      </c>
      <c r="F445">
        <v>11</v>
      </c>
      <c r="G445">
        <v>341.47</v>
      </c>
      <c r="H445">
        <v>0.05</v>
      </c>
      <c r="I445">
        <v>3568.41</v>
      </c>
      <c r="J445">
        <v>2300.56</v>
      </c>
      <c r="K445">
        <v>1267.8499999999999</v>
      </c>
    </row>
    <row r="446" spans="1:11" x14ac:dyDescent="0.3">
      <c r="A446" t="s">
        <v>470</v>
      </c>
      <c r="B446" s="81">
        <v>45668</v>
      </c>
      <c r="C446" t="s">
        <v>21</v>
      </c>
      <c r="D446" t="s">
        <v>13</v>
      </c>
      <c r="E446" t="s">
        <v>22</v>
      </c>
      <c r="F446">
        <v>10</v>
      </c>
      <c r="G446">
        <v>680.25</v>
      </c>
      <c r="H446">
        <v>0.1</v>
      </c>
      <c r="I446">
        <v>6122.27</v>
      </c>
      <c r="J446">
        <v>3859.03</v>
      </c>
      <c r="K446">
        <v>2263.23</v>
      </c>
    </row>
    <row r="447" spans="1:11" x14ac:dyDescent="0.3">
      <c r="A447" t="s">
        <v>471</v>
      </c>
      <c r="B447" s="81">
        <v>45965</v>
      </c>
      <c r="C447" t="s">
        <v>12</v>
      </c>
      <c r="D447" t="s">
        <v>17</v>
      </c>
      <c r="E447" t="s">
        <v>22</v>
      </c>
      <c r="F447">
        <v>3</v>
      </c>
      <c r="G447">
        <v>217.83</v>
      </c>
      <c r="H447">
        <v>0.05</v>
      </c>
      <c r="I447">
        <v>620.82000000000005</v>
      </c>
      <c r="J447">
        <v>406.3</v>
      </c>
      <c r="K447">
        <v>214.52</v>
      </c>
    </row>
    <row r="448" spans="1:11" x14ac:dyDescent="0.3">
      <c r="A448" t="s">
        <v>472</v>
      </c>
      <c r="B448" s="81">
        <v>45736</v>
      </c>
      <c r="C448" t="s">
        <v>28</v>
      </c>
      <c r="D448" t="s">
        <v>13</v>
      </c>
      <c r="E448" t="s">
        <v>22</v>
      </c>
      <c r="F448">
        <v>10</v>
      </c>
      <c r="G448">
        <v>314.20999999999998</v>
      </c>
      <c r="H448">
        <v>0.05</v>
      </c>
      <c r="I448">
        <v>2984.98</v>
      </c>
      <c r="J448">
        <v>1704.58</v>
      </c>
      <c r="K448">
        <v>1280.3900000000001</v>
      </c>
    </row>
    <row r="449" spans="1:11" x14ac:dyDescent="0.3">
      <c r="A449" t="s">
        <v>473</v>
      </c>
      <c r="B449" s="81">
        <v>45666</v>
      </c>
      <c r="C449" t="s">
        <v>21</v>
      </c>
      <c r="D449" t="s">
        <v>13</v>
      </c>
      <c r="E449" t="s">
        <v>29</v>
      </c>
      <c r="F449">
        <v>2</v>
      </c>
      <c r="G449">
        <v>87.76</v>
      </c>
      <c r="H449">
        <v>0</v>
      </c>
      <c r="I449">
        <v>175.52</v>
      </c>
      <c r="J449">
        <v>119.78</v>
      </c>
      <c r="K449">
        <v>55.74</v>
      </c>
    </row>
    <row r="450" spans="1:11" x14ac:dyDescent="0.3">
      <c r="A450" t="s">
        <v>474</v>
      </c>
      <c r="B450" s="81">
        <v>45701</v>
      </c>
      <c r="C450" t="s">
        <v>28</v>
      </c>
      <c r="D450" t="s">
        <v>33</v>
      </c>
      <c r="E450" t="s">
        <v>14</v>
      </c>
      <c r="F450">
        <v>9</v>
      </c>
      <c r="G450">
        <v>144.81</v>
      </c>
      <c r="H450">
        <v>0</v>
      </c>
      <c r="I450">
        <v>1303.31</v>
      </c>
      <c r="J450">
        <v>960.82</v>
      </c>
      <c r="K450">
        <v>342.48</v>
      </c>
    </row>
    <row r="451" spans="1:11" x14ac:dyDescent="0.3">
      <c r="A451" t="s">
        <v>475</v>
      </c>
      <c r="B451" s="81">
        <v>45959</v>
      </c>
      <c r="C451" t="s">
        <v>16</v>
      </c>
      <c r="D451" t="s">
        <v>33</v>
      </c>
      <c r="E451" t="s">
        <v>18</v>
      </c>
      <c r="F451">
        <v>11</v>
      </c>
      <c r="G451">
        <v>85.29</v>
      </c>
      <c r="H451">
        <v>0.1</v>
      </c>
      <c r="I451">
        <v>844.42</v>
      </c>
      <c r="J451">
        <v>619.22</v>
      </c>
      <c r="K451">
        <v>225.2</v>
      </c>
    </row>
    <row r="452" spans="1:11" x14ac:dyDescent="0.3">
      <c r="A452" t="s">
        <v>476</v>
      </c>
      <c r="B452" s="81">
        <v>45874</v>
      </c>
      <c r="C452" t="s">
        <v>21</v>
      </c>
      <c r="D452" t="s">
        <v>17</v>
      </c>
      <c r="E452" t="s">
        <v>29</v>
      </c>
      <c r="F452">
        <v>4</v>
      </c>
      <c r="G452">
        <v>752.44</v>
      </c>
      <c r="H452">
        <v>0</v>
      </c>
      <c r="I452">
        <v>3009.76</v>
      </c>
      <c r="J452">
        <v>1621.98</v>
      </c>
      <c r="K452">
        <v>1387.79</v>
      </c>
    </row>
    <row r="453" spans="1:11" x14ac:dyDescent="0.3">
      <c r="A453" t="s">
        <v>477</v>
      </c>
      <c r="B453" s="81">
        <v>45815</v>
      </c>
      <c r="C453" t="s">
        <v>16</v>
      </c>
      <c r="D453" t="s">
        <v>17</v>
      </c>
      <c r="E453" t="s">
        <v>24</v>
      </c>
      <c r="F453">
        <v>9</v>
      </c>
      <c r="G453">
        <v>248.34</v>
      </c>
      <c r="H453">
        <v>0.05</v>
      </c>
      <c r="I453">
        <v>2123.31</v>
      </c>
      <c r="J453">
        <v>1598.4</v>
      </c>
      <c r="K453">
        <v>524.91</v>
      </c>
    </row>
    <row r="454" spans="1:11" x14ac:dyDescent="0.3">
      <c r="A454" t="s">
        <v>478</v>
      </c>
      <c r="B454" s="81">
        <v>45774</v>
      </c>
      <c r="C454" t="s">
        <v>28</v>
      </c>
      <c r="D454" t="s">
        <v>33</v>
      </c>
      <c r="E454" t="s">
        <v>26</v>
      </c>
      <c r="F454">
        <v>10</v>
      </c>
      <c r="G454">
        <v>496.73</v>
      </c>
      <c r="H454">
        <v>0.2</v>
      </c>
      <c r="I454">
        <v>3973.87</v>
      </c>
      <c r="J454">
        <v>2581.06</v>
      </c>
      <c r="K454">
        <v>1392.81</v>
      </c>
    </row>
    <row r="455" spans="1:11" x14ac:dyDescent="0.3">
      <c r="A455" t="s">
        <v>479</v>
      </c>
      <c r="B455" s="81">
        <v>45972</v>
      </c>
      <c r="C455" t="s">
        <v>16</v>
      </c>
      <c r="D455" t="s">
        <v>33</v>
      </c>
      <c r="E455" t="s">
        <v>14</v>
      </c>
      <c r="F455">
        <v>1</v>
      </c>
      <c r="G455">
        <v>766.53</v>
      </c>
      <c r="H455">
        <v>0.05</v>
      </c>
      <c r="I455">
        <v>728.21</v>
      </c>
      <c r="J455">
        <v>528.67999999999995</v>
      </c>
      <c r="K455">
        <v>199.52</v>
      </c>
    </row>
    <row r="456" spans="1:11" x14ac:dyDescent="0.3">
      <c r="A456" t="s">
        <v>480</v>
      </c>
      <c r="B456" s="81">
        <v>45914</v>
      </c>
      <c r="C456" t="s">
        <v>28</v>
      </c>
      <c r="D456" t="s">
        <v>33</v>
      </c>
      <c r="E456" t="s">
        <v>29</v>
      </c>
      <c r="F456">
        <v>11</v>
      </c>
      <c r="G456">
        <v>278.18</v>
      </c>
      <c r="H456">
        <v>0</v>
      </c>
      <c r="I456">
        <v>3060.01</v>
      </c>
      <c r="J456">
        <v>2345.0500000000002</v>
      </c>
      <c r="K456">
        <v>714.96</v>
      </c>
    </row>
    <row r="457" spans="1:11" x14ac:dyDescent="0.3">
      <c r="A457" t="s">
        <v>481</v>
      </c>
      <c r="B457" s="81">
        <v>46011</v>
      </c>
      <c r="C457" t="s">
        <v>21</v>
      </c>
      <c r="D457" t="s">
        <v>13</v>
      </c>
      <c r="E457" t="s">
        <v>22</v>
      </c>
      <c r="F457">
        <v>5</v>
      </c>
      <c r="G457">
        <v>705.17</v>
      </c>
      <c r="H457">
        <v>0.2</v>
      </c>
      <c r="I457">
        <v>2820.7</v>
      </c>
      <c r="J457">
        <v>1453.76</v>
      </c>
      <c r="K457">
        <v>1366.94</v>
      </c>
    </row>
    <row r="458" spans="1:11" x14ac:dyDescent="0.3">
      <c r="A458" t="s">
        <v>482</v>
      </c>
      <c r="B458" s="81">
        <v>45882</v>
      </c>
      <c r="C458" t="s">
        <v>16</v>
      </c>
      <c r="D458" t="s">
        <v>13</v>
      </c>
      <c r="E458" t="s">
        <v>14</v>
      </c>
      <c r="F458">
        <v>1</v>
      </c>
      <c r="G458">
        <v>882.92</v>
      </c>
      <c r="H458">
        <v>0.1</v>
      </c>
      <c r="I458">
        <v>794.63</v>
      </c>
      <c r="J458">
        <v>530.91999999999996</v>
      </c>
      <c r="K458">
        <v>263.70999999999998</v>
      </c>
    </row>
    <row r="459" spans="1:11" x14ac:dyDescent="0.3">
      <c r="A459" t="s">
        <v>483</v>
      </c>
      <c r="B459" s="81">
        <v>45966</v>
      </c>
      <c r="C459" t="s">
        <v>12</v>
      </c>
      <c r="D459" t="s">
        <v>17</v>
      </c>
      <c r="E459" t="s">
        <v>29</v>
      </c>
      <c r="F459">
        <v>6</v>
      </c>
      <c r="G459">
        <v>249.86</v>
      </c>
      <c r="H459">
        <v>0.05</v>
      </c>
      <c r="I459">
        <v>1424.22</v>
      </c>
      <c r="J459">
        <v>807.91</v>
      </c>
      <c r="K459">
        <v>616.30999999999995</v>
      </c>
    </row>
    <row r="460" spans="1:11" x14ac:dyDescent="0.3">
      <c r="A460" t="s">
        <v>484</v>
      </c>
      <c r="B460" s="81">
        <v>45811</v>
      </c>
      <c r="C460" t="s">
        <v>12</v>
      </c>
      <c r="D460" t="s">
        <v>13</v>
      </c>
      <c r="E460" t="s">
        <v>14</v>
      </c>
      <c r="F460">
        <v>2</v>
      </c>
      <c r="G460">
        <v>538.15</v>
      </c>
      <c r="H460">
        <v>0.05</v>
      </c>
      <c r="I460">
        <v>1022.48</v>
      </c>
      <c r="J460">
        <v>513.1</v>
      </c>
      <c r="K460">
        <v>509.37</v>
      </c>
    </row>
    <row r="461" spans="1:11" x14ac:dyDescent="0.3">
      <c r="A461" t="s">
        <v>485</v>
      </c>
      <c r="B461" s="81">
        <v>45726</v>
      </c>
      <c r="C461" t="s">
        <v>28</v>
      </c>
      <c r="D461" t="s">
        <v>33</v>
      </c>
      <c r="E461" t="s">
        <v>34</v>
      </c>
      <c r="F461">
        <v>10</v>
      </c>
      <c r="G461">
        <v>171.49</v>
      </c>
      <c r="H461">
        <v>0.05</v>
      </c>
      <c r="I461">
        <v>1629.11</v>
      </c>
      <c r="J461">
        <v>1286.6099999999999</v>
      </c>
      <c r="K461">
        <v>342.5</v>
      </c>
    </row>
    <row r="462" spans="1:11" x14ac:dyDescent="0.3">
      <c r="A462" t="s">
        <v>486</v>
      </c>
      <c r="B462" s="81">
        <v>45848</v>
      </c>
      <c r="C462" t="s">
        <v>16</v>
      </c>
      <c r="D462" t="s">
        <v>13</v>
      </c>
      <c r="E462" t="s">
        <v>29</v>
      </c>
      <c r="F462">
        <v>5</v>
      </c>
      <c r="G462">
        <v>156.83000000000001</v>
      </c>
      <c r="H462">
        <v>0</v>
      </c>
      <c r="I462">
        <v>784.16</v>
      </c>
      <c r="J462">
        <v>417.2</v>
      </c>
      <c r="K462">
        <v>366.96</v>
      </c>
    </row>
    <row r="463" spans="1:11" x14ac:dyDescent="0.3">
      <c r="A463" t="s">
        <v>487</v>
      </c>
      <c r="B463" s="81">
        <v>45992</v>
      </c>
      <c r="C463" t="s">
        <v>12</v>
      </c>
      <c r="D463" t="s">
        <v>13</v>
      </c>
      <c r="E463" t="s">
        <v>34</v>
      </c>
      <c r="F463">
        <v>4</v>
      </c>
      <c r="G463">
        <v>417.14</v>
      </c>
      <c r="H463">
        <v>0.05</v>
      </c>
      <c r="I463">
        <v>1585.12</v>
      </c>
      <c r="J463">
        <v>1162.4100000000001</v>
      </c>
      <c r="K463">
        <v>422.71</v>
      </c>
    </row>
    <row r="464" spans="1:11" x14ac:dyDescent="0.3">
      <c r="A464" t="s">
        <v>488</v>
      </c>
      <c r="B464" s="81">
        <v>45861</v>
      </c>
      <c r="C464" t="s">
        <v>12</v>
      </c>
      <c r="D464" t="s">
        <v>33</v>
      </c>
      <c r="E464" t="s">
        <v>31</v>
      </c>
      <c r="F464">
        <v>3</v>
      </c>
      <c r="G464">
        <v>768.13</v>
      </c>
      <c r="H464">
        <v>0.1</v>
      </c>
      <c r="I464">
        <v>2073.94</v>
      </c>
      <c r="J464">
        <v>1007.1</v>
      </c>
      <c r="K464">
        <v>1066.8399999999999</v>
      </c>
    </row>
    <row r="465" spans="1:11" x14ac:dyDescent="0.3">
      <c r="A465" t="s">
        <v>489</v>
      </c>
      <c r="B465" s="81">
        <v>46015</v>
      </c>
      <c r="C465" t="s">
        <v>12</v>
      </c>
      <c r="D465" t="s">
        <v>13</v>
      </c>
      <c r="E465" t="s">
        <v>22</v>
      </c>
      <c r="F465">
        <v>5</v>
      </c>
      <c r="G465">
        <v>591.70000000000005</v>
      </c>
      <c r="H465">
        <v>0.05</v>
      </c>
      <c r="I465">
        <v>2810.57</v>
      </c>
      <c r="J465">
        <v>1847.77</v>
      </c>
      <c r="K465">
        <v>962.8</v>
      </c>
    </row>
    <row r="466" spans="1:11" x14ac:dyDescent="0.3">
      <c r="A466" t="s">
        <v>490</v>
      </c>
      <c r="B466" s="81">
        <v>45738</v>
      </c>
      <c r="C466" t="s">
        <v>12</v>
      </c>
      <c r="D466" t="s">
        <v>17</v>
      </c>
      <c r="E466" t="s">
        <v>24</v>
      </c>
      <c r="F466">
        <v>6</v>
      </c>
      <c r="G466">
        <v>436.29</v>
      </c>
      <c r="H466">
        <v>0.05</v>
      </c>
      <c r="I466">
        <v>2486.87</v>
      </c>
      <c r="J466">
        <v>1539.96</v>
      </c>
      <c r="K466">
        <v>946.91</v>
      </c>
    </row>
    <row r="467" spans="1:11" x14ac:dyDescent="0.3">
      <c r="A467" t="s">
        <v>491</v>
      </c>
      <c r="B467" s="81">
        <v>45821</v>
      </c>
      <c r="C467" t="s">
        <v>16</v>
      </c>
      <c r="D467" t="s">
        <v>33</v>
      </c>
      <c r="E467" t="s">
        <v>34</v>
      </c>
      <c r="F467">
        <v>8</v>
      </c>
      <c r="G467">
        <v>476.94</v>
      </c>
      <c r="H467">
        <v>0.15</v>
      </c>
      <c r="I467">
        <v>3243.19</v>
      </c>
      <c r="J467">
        <v>1508.45</v>
      </c>
      <c r="K467">
        <v>1734.74</v>
      </c>
    </row>
    <row r="468" spans="1:11" x14ac:dyDescent="0.3">
      <c r="A468" t="s">
        <v>492</v>
      </c>
      <c r="B468" s="81">
        <v>45861</v>
      </c>
      <c r="C468" t="s">
        <v>21</v>
      </c>
      <c r="D468" t="s">
        <v>17</v>
      </c>
      <c r="E468" t="s">
        <v>14</v>
      </c>
      <c r="F468">
        <v>8</v>
      </c>
      <c r="G468">
        <v>679.26</v>
      </c>
      <c r="H468">
        <v>0</v>
      </c>
      <c r="I468">
        <v>5434.11</v>
      </c>
      <c r="J468">
        <v>3864.5</v>
      </c>
      <c r="K468">
        <v>1569.61</v>
      </c>
    </row>
    <row r="469" spans="1:11" x14ac:dyDescent="0.3">
      <c r="A469" t="s">
        <v>493</v>
      </c>
      <c r="B469" s="81">
        <v>45775</v>
      </c>
      <c r="C469" t="s">
        <v>28</v>
      </c>
      <c r="D469" t="s">
        <v>33</v>
      </c>
      <c r="E469" t="s">
        <v>26</v>
      </c>
      <c r="F469">
        <v>6</v>
      </c>
      <c r="G469">
        <v>554.69000000000005</v>
      </c>
      <c r="H469">
        <v>0.15</v>
      </c>
      <c r="I469">
        <v>2828.93</v>
      </c>
      <c r="J469">
        <v>1850.19</v>
      </c>
      <c r="K469">
        <v>978.74</v>
      </c>
    </row>
    <row r="470" spans="1:11" x14ac:dyDescent="0.3">
      <c r="A470" t="s">
        <v>494</v>
      </c>
      <c r="B470" s="81">
        <v>45881</v>
      </c>
      <c r="C470" t="s">
        <v>28</v>
      </c>
      <c r="D470" t="s">
        <v>17</v>
      </c>
      <c r="E470" t="s">
        <v>18</v>
      </c>
      <c r="F470">
        <v>5</v>
      </c>
      <c r="G470">
        <v>494.61</v>
      </c>
      <c r="H470">
        <v>0.05</v>
      </c>
      <c r="I470">
        <v>2349.39</v>
      </c>
      <c r="J470">
        <v>1652.02</v>
      </c>
      <c r="K470">
        <v>697.37</v>
      </c>
    </row>
    <row r="471" spans="1:11" x14ac:dyDescent="0.3">
      <c r="A471" t="s">
        <v>495</v>
      </c>
      <c r="B471" s="81">
        <v>45799</v>
      </c>
      <c r="C471" t="s">
        <v>12</v>
      </c>
      <c r="D471" t="s">
        <v>33</v>
      </c>
      <c r="E471" t="s">
        <v>18</v>
      </c>
      <c r="F471">
        <v>6</v>
      </c>
      <c r="G471">
        <v>677.95</v>
      </c>
      <c r="H471">
        <v>0.1</v>
      </c>
      <c r="I471">
        <v>3660.94</v>
      </c>
      <c r="J471">
        <v>2756.72</v>
      </c>
      <c r="K471">
        <v>904.22</v>
      </c>
    </row>
    <row r="472" spans="1:11" x14ac:dyDescent="0.3">
      <c r="A472" t="s">
        <v>496</v>
      </c>
      <c r="B472" s="81">
        <v>45681</v>
      </c>
      <c r="C472" t="s">
        <v>12</v>
      </c>
      <c r="D472" t="s">
        <v>17</v>
      </c>
      <c r="E472" t="s">
        <v>22</v>
      </c>
      <c r="F472">
        <v>1</v>
      </c>
      <c r="G472">
        <v>233.73</v>
      </c>
      <c r="H472">
        <v>0</v>
      </c>
      <c r="I472">
        <v>233.73</v>
      </c>
      <c r="J472">
        <v>169.02</v>
      </c>
      <c r="K472">
        <v>64.709999999999994</v>
      </c>
    </row>
    <row r="473" spans="1:11" x14ac:dyDescent="0.3">
      <c r="A473" t="s">
        <v>497</v>
      </c>
      <c r="B473" s="81">
        <v>45898</v>
      </c>
      <c r="C473" t="s">
        <v>21</v>
      </c>
      <c r="D473" t="s">
        <v>33</v>
      </c>
      <c r="E473" t="s">
        <v>18</v>
      </c>
      <c r="F473">
        <v>8</v>
      </c>
      <c r="G473">
        <v>651.69000000000005</v>
      </c>
      <c r="H473">
        <v>0.15</v>
      </c>
      <c r="I473">
        <v>4431.5</v>
      </c>
      <c r="J473">
        <v>2221.09</v>
      </c>
      <c r="K473">
        <v>2210.42</v>
      </c>
    </row>
    <row r="474" spans="1:11" x14ac:dyDescent="0.3">
      <c r="A474" t="s">
        <v>498</v>
      </c>
      <c r="B474" s="81">
        <v>45863</v>
      </c>
      <c r="C474" t="s">
        <v>12</v>
      </c>
      <c r="D474" t="s">
        <v>13</v>
      </c>
      <c r="E474" t="s">
        <v>29</v>
      </c>
      <c r="F474">
        <v>8</v>
      </c>
      <c r="G474">
        <v>273.70999999999998</v>
      </c>
      <c r="H474">
        <v>0.05</v>
      </c>
      <c r="I474">
        <v>2080.23</v>
      </c>
      <c r="J474">
        <v>1013.91</v>
      </c>
      <c r="K474">
        <v>1066.32</v>
      </c>
    </row>
    <row r="475" spans="1:11" x14ac:dyDescent="0.3">
      <c r="A475" t="s">
        <v>499</v>
      </c>
      <c r="B475" s="81">
        <v>45875</v>
      </c>
      <c r="C475" t="s">
        <v>12</v>
      </c>
      <c r="D475" t="s">
        <v>33</v>
      </c>
      <c r="E475" t="s">
        <v>31</v>
      </c>
      <c r="F475">
        <v>8</v>
      </c>
      <c r="G475">
        <v>344.55</v>
      </c>
      <c r="H475">
        <v>0</v>
      </c>
      <c r="I475">
        <v>2756.44</v>
      </c>
      <c r="J475">
        <v>1482.03</v>
      </c>
      <c r="K475">
        <v>1274.4000000000001</v>
      </c>
    </row>
    <row r="476" spans="1:11" x14ac:dyDescent="0.3">
      <c r="A476" t="s">
        <v>500</v>
      </c>
      <c r="B476" s="81">
        <v>45848</v>
      </c>
      <c r="C476" t="s">
        <v>21</v>
      </c>
      <c r="D476" t="s">
        <v>17</v>
      </c>
      <c r="E476" t="s">
        <v>22</v>
      </c>
      <c r="F476">
        <v>9</v>
      </c>
      <c r="G476">
        <v>501.67</v>
      </c>
      <c r="H476">
        <v>0</v>
      </c>
      <c r="I476">
        <v>4514.99</v>
      </c>
      <c r="J476">
        <v>3568.39</v>
      </c>
      <c r="K476">
        <v>946.6</v>
      </c>
    </row>
    <row r="477" spans="1:11" x14ac:dyDescent="0.3">
      <c r="A477" t="s">
        <v>501</v>
      </c>
      <c r="B477" s="81">
        <v>45995</v>
      </c>
      <c r="C477" t="s">
        <v>12</v>
      </c>
      <c r="D477" t="s">
        <v>13</v>
      </c>
      <c r="E477" t="s">
        <v>18</v>
      </c>
      <c r="F477">
        <v>4</v>
      </c>
      <c r="G477">
        <v>378.58</v>
      </c>
      <c r="H477">
        <v>0.1</v>
      </c>
      <c r="I477">
        <v>1362.89</v>
      </c>
      <c r="J477">
        <v>814.69</v>
      </c>
      <c r="K477">
        <v>548.20000000000005</v>
      </c>
    </row>
    <row r="478" spans="1:11" x14ac:dyDescent="0.3">
      <c r="A478" t="s">
        <v>502</v>
      </c>
      <c r="B478" s="81">
        <v>45929</v>
      </c>
      <c r="C478" t="s">
        <v>16</v>
      </c>
      <c r="D478" t="s">
        <v>17</v>
      </c>
      <c r="E478" t="s">
        <v>34</v>
      </c>
      <c r="F478">
        <v>11</v>
      </c>
      <c r="G478">
        <v>521.98</v>
      </c>
      <c r="H478">
        <v>0.15</v>
      </c>
      <c r="I478">
        <v>4880.55</v>
      </c>
      <c r="J478">
        <v>3339.3</v>
      </c>
      <c r="K478">
        <v>1541.25</v>
      </c>
    </row>
    <row r="479" spans="1:11" x14ac:dyDescent="0.3">
      <c r="A479" t="s">
        <v>503</v>
      </c>
      <c r="B479" s="81">
        <v>45661</v>
      </c>
      <c r="C479" t="s">
        <v>12</v>
      </c>
      <c r="D479" t="s">
        <v>33</v>
      </c>
      <c r="E479" t="s">
        <v>31</v>
      </c>
      <c r="F479">
        <v>3</v>
      </c>
      <c r="G479">
        <v>388</v>
      </c>
      <c r="H479">
        <v>0</v>
      </c>
      <c r="I479">
        <v>1164.01</v>
      </c>
      <c r="J479">
        <v>747.85</v>
      </c>
      <c r="K479">
        <v>416.17</v>
      </c>
    </row>
    <row r="480" spans="1:11" x14ac:dyDescent="0.3">
      <c r="A480" t="s">
        <v>504</v>
      </c>
      <c r="B480" s="81">
        <v>45915</v>
      </c>
      <c r="C480" t="s">
        <v>28</v>
      </c>
      <c r="D480" t="s">
        <v>17</v>
      </c>
      <c r="E480" t="s">
        <v>31</v>
      </c>
      <c r="F480">
        <v>3</v>
      </c>
      <c r="G480">
        <v>62.14</v>
      </c>
      <c r="H480">
        <v>0.05</v>
      </c>
      <c r="I480">
        <v>177.11</v>
      </c>
      <c r="J480">
        <v>137.59</v>
      </c>
      <c r="K480">
        <v>39.520000000000003</v>
      </c>
    </row>
    <row r="481" spans="1:11" x14ac:dyDescent="0.3">
      <c r="A481" t="s">
        <v>505</v>
      </c>
      <c r="B481" s="81">
        <v>45988</v>
      </c>
      <c r="C481" t="s">
        <v>16</v>
      </c>
      <c r="D481" t="s">
        <v>13</v>
      </c>
      <c r="E481" t="s">
        <v>34</v>
      </c>
      <c r="F481">
        <v>10</v>
      </c>
      <c r="G481">
        <v>502.47</v>
      </c>
      <c r="H481">
        <v>0.05</v>
      </c>
      <c r="I481">
        <v>4773.5</v>
      </c>
      <c r="J481">
        <v>3147.05</v>
      </c>
      <c r="K481">
        <v>1626.45</v>
      </c>
    </row>
    <row r="482" spans="1:11" x14ac:dyDescent="0.3">
      <c r="A482" t="s">
        <v>506</v>
      </c>
      <c r="B482" s="81">
        <v>45980</v>
      </c>
      <c r="C482" t="s">
        <v>12</v>
      </c>
      <c r="D482" t="s">
        <v>33</v>
      </c>
      <c r="E482" t="s">
        <v>18</v>
      </c>
      <c r="F482">
        <v>4</v>
      </c>
      <c r="G482">
        <v>538.73</v>
      </c>
      <c r="H482">
        <v>0.1</v>
      </c>
      <c r="I482">
        <v>1939.42</v>
      </c>
      <c r="J482">
        <v>1129.31</v>
      </c>
      <c r="K482">
        <v>810.11</v>
      </c>
    </row>
    <row r="483" spans="1:11" x14ac:dyDescent="0.3">
      <c r="A483" t="s">
        <v>507</v>
      </c>
      <c r="B483" s="81">
        <v>45998</v>
      </c>
      <c r="C483" t="s">
        <v>16</v>
      </c>
      <c r="D483" t="s">
        <v>17</v>
      </c>
      <c r="E483" t="s">
        <v>22</v>
      </c>
      <c r="F483">
        <v>5</v>
      </c>
      <c r="G483">
        <v>196.53</v>
      </c>
      <c r="H483">
        <v>0.2</v>
      </c>
      <c r="I483">
        <v>786.11</v>
      </c>
      <c r="J483">
        <v>359.49</v>
      </c>
      <c r="K483">
        <v>426.62</v>
      </c>
    </row>
    <row r="484" spans="1:11" x14ac:dyDescent="0.3">
      <c r="A484" t="s">
        <v>508</v>
      </c>
      <c r="B484" s="81">
        <v>45927</v>
      </c>
      <c r="C484" t="s">
        <v>21</v>
      </c>
      <c r="D484" t="s">
        <v>13</v>
      </c>
      <c r="E484" t="s">
        <v>22</v>
      </c>
      <c r="F484">
        <v>4</v>
      </c>
      <c r="G484">
        <v>350.14</v>
      </c>
      <c r="H484">
        <v>0</v>
      </c>
      <c r="I484">
        <v>1400.54</v>
      </c>
      <c r="J484">
        <v>947.39</v>
      </c>
      <c r="K484">
        <v>453.15</v>
      </c>
    </row>
    <row r="485" spans="1:11" x14ac:dyDescent="0.3">
      <c r="A485" t="s">
        <v>509</v>
      </c>
      <c r="B485" s="81">
        <v>45899</v>
      </c>
      <c r="C485" t="s">
        <v>12</v>
      </c>
      <c r="D485" t="s">
        <v>13</v>
      </c>
      <c r="E485" t="s">
        <v>34</v>
      </c>
      <c r="F485">
        <v>8</v>
      </c>
      <c r="G485">
        <v>369.33</v>
      </c>
      <c r="H485">
        <v>0.2</v>
      </c>
      <c r="I485">
        <v>2363.73</v>
      </c>
      <c r="J485">
        <v>1284.1400000000001</v>
      </c>
      <c r="K485">
        <v>1079.5899999999999</v>
      </c>
    </row>
    <row r="486" spans="1:11" x14ac:dyDescent="0.3">
      <c r="A486" t="s">
        <v>510</v>
      </c>
      <c r="B486" s="81">
        <v>45681</v>
      </c>
      <c r="C486" t="s">
        <v>16</v>
      </c>
      <c r="D486" t="s">
        <v>13</v>
      </c>
      <c r="E486" t="s">
        <v>26</v>
      </c>
      <c r="F486">
        <v>6</v>
      </c>
      <c r="G486">
        <v>757.9</v>
      </c>
      <c r="H486">
        <v>0.1</v>
      </c>
      <c r="I486">
        <v>4092.67</v>
      </c>
      <c r="J486">
        <v>3213.92</v>
      </c>
      <c r="K486">
        <v>878.75</v>
      </c>
    </row>
    <row r="487" spans="1:11" x14ac:dyDescent="0.3">
      <c r="A487" t="s">
        <v>511</v>
      </c>
      <c r="B487" s="81">
        <v>45929</v>
      </c>
      <c r="C487" t="s">
        <v>21</v>
      </c>
      <c r="D487" t="s">
        <v>13</v>
      </c>
      <c r="E487" t="s">
        <v>14</v>
      </c>
      <c r="F487">
        <v>8</v>
      </c>
      <c r="G487">
        <v>617.99</v>
      </c>
      <c r="H487">
        <v>0.1</v>
      </c>
      <c r="I487">
        <v>4449.53</v>
      </c>
      <c r="J487">
        <v>2325.7399999999998</v>
      </c>
      <c r="K487">
        <v>2123.79</v>
      </c>
    </row>
    <row r="488" spans="1:11" x14ac:dyDescent="0.3">
      <c r="A488" t="s">
        <v>512</v>
      </c>
      <c r="B488" s="81">
        <v>45891</v>
      </c>
      <c r="C488" t="s">
        <v>28</v>
      </c>
      <c r="D488" t="s">
        <v>13</v>
      </c>
      <c r="E488" t="s">
        <v>29</v>
      </c>
      <c r="F488">
        <v>4</v>
      </c>
      <c r="G488">
        <v>420.55</v>
      </c>
      <c r="H488">
        <v>0</v>
      </c>
      <c r="I488">
        <v>1682.19</v>
      </c>
      <c r="J488">
        <v>1201.75</v>
      </c>
      <c r="K488">
        <v>480.44</v>
      </c>
    </row>
    <row r="489" spans="1:11" x14ac:dyDescent="0.3">
      <c r="A489" t="s">
        <v>513</v>
      </c>
      <c r="B489" s="81">
        <v>45753</v>
      </c>
      <c r="C489" t="s">
        <v>16</v>
      </c>
      <c r="D489" t="s">
        <v>13</v>
      </c>
      <c r="E489" t="s">
        <v>24</v>
      </c>
      <c r="F489">
        <v>7</v>
      </c>
      <c r="G489">
        <v>611.29</v>
      </c>
      <c r="H489">
        <v>0.1</v>
      </c>
      <c r="I489">
        <v>3851.11</v>
      </c>
      <c r="J489">
        <v>2857.89</v>
      </c>
      <c r="K489">
        <v>993.21</v>
      </c>
    </row>
    <row r="490" spans="1:11" x14ac:dyDescent="0.3">
      <c r="A490" t="s">
        <v>514</v>
      </c>
      <c r="B490" s="81">
        <v>45671</v>
      </c>
      <c r="C490" t="s">
        <v>28</v>
      </c>
      <c r="D490" t="s">
        <v>33</v>
      </c>
      <c r="E490" t="s">
        <v>22</v>
      </c>
      <c r="F490">
        <v>5</v>
      </c>
      <c r="G490">
        <v>403.93</v>
      </c>
      <c r="H490">
        <v>0</v>
      </c>
      <c r="I490">
        <v>2019.65</v>
      </c>
      <c r="J490">
        <v>942.49</v>
      </c>
      <c r="K490">
        <v>1077.1600000000001</v>
      </c>
    </row>
    <row r="491" spans="1:11" x14ac:dyDescent="0.3">
      <c r="A491" t="s">
        <v>515</v>
      </c>
      <c r="B491" s="81">
        <v>45686</v>
      </c>
      <c r="C491" t="s">
        <v>16</v>
      </c>
      <c r="D491" t="s">
        <v>17</v>
      </c>
      <c r="E491" t="s">
        <v>22</v>
      </c>
      <c r="F491">
        <v>5</v>
      </c>
      <c r="G491">
        <v>221.64</v>
      </c>
      <c r="H491">
        <v>0.1</v>
      </c>
      <c r="I491">
        <v>997.4</v>
      </c>
      <c r="J491">
        <v>571.36</v>
      </c>
      <c r="K491">
        <v>426.04</v>
      </c>
    </row>
    <row r="492" spans="1:11" x14ac:dyDescent="0.3">
      <c r="A492" t="s">
        <v>516</v>
      </c>
      <c r="B492" s="81">
        <v>45880</v>
      </c>
      <c r="C492" t="s">
        <v>21</v>
      </c>
      <c r="D492" t="s">
        <v>17</v>
      </c>
      <c r="E492" t="s">
        <v>31</v>
      </c>
      <c r="F492">
        <v>5</v>
      </c>
      <c r="G492">
        <v>426.01</v>
      </c>
      <c r="H492">
        <v>0.05</v>
      </c>
      <c r="I492">
        <v>2023.56</v>
      </c>
      <c r="J492">
        <v>1308.9100000000001</v>
      </c>
      <c r="K492">
        <v>714.66</v>
      </c>
    </row>
    <row r="493" spans="1:11" x14ac:dyDescent="0.3">
      <c r="A493" t="s">
        <v>517</v>
      </c>
      <c r="B493" s="81">
        <v>45944</v>
      </c>
      <c r="C493" t="s">
        <v>16</v>
      </c>
      <c r="D493" t="s">
        <v>13</v>
      </c>
      <c r="E493" t="s">
        <v>24</v>
      </c>
      <c r="F493">
        <v>7</v>
      </c>
      <c r="G493">
        <v>443.09</v>
      </c>
      <c r="H493">
        <v>0.15</v>
      </c>
      <c r="I493">
        <v>2636.39</v>
      </c>
      <c r="J493">
        <v>1271.29</v>
      </c>
      <c r="K493">
        <v>1365.1</v>
      </c>
    </row>
    <row r="494" spans="1:11" x14ac:dyDescent="0.3">
      <c r="A494" t="s">
        <v>518</v>
      </c>
      <c r="B494" s="81">
        <v>45683</v>
      </c>
      <c r="C494" t="s">
        <v>21</v>
      </c>
      <c r="D494" t="s">
        <v>17</v>
      </c>
      <c r="E494" t="s">
        <v>22</v>
      </c>
      <c r="F494">
        <v>9</v>
      </c>
      <c r="G494">
        <v>409.11</v>
      </c>
      <c r="H494">
        <v>0.15</v>
      </c>
      <c r="I494">
        <v>3129.69</v>
      </c>
      <c r="J494">
        <v>1996.62</v>
      </c>
      <c r="K494">
        <v>1133.07</v>
      </c>
    </row>
    <row r="495" spans="1:11" x14ac:dyDescent="0.3">
      <c r="A495" t="s">
        <v>519</v>
      </c>
      <c r="B495" s="81">
        <v>46001</v>
      </c>
      <c r="C495" t="s">
        <v>21</v>
      </c>
      <c r="D495" t="s">
        <v>33</v>
      </c>
      <c r="E495" t="s">
        <v>22</v>
      </c>
      <c r="F495">
        <v>10</v>
      </c>
      <c r="G495">
        <v>317.19</v>
      </c>
      <c r="H495">
        <v>0.05</v>
      </c>
      <c r="I495">
        <v>3013.32</v>
      </c>
      <c r="J495">
        <v>1581.27</v>
      </c>
      <c r="K495">
        <v>1432.05</v>
      </c>
    </row>
    <row r="496" spans="1:11" x14ac:dyDescent="0.3">
      <c r="A496" t="s">
        <v>520</v>
      </c>
      <c r="B496" s="81">
        <v>45755</v>
      </c>
      <c r="C496" t="s">
        <v>12</v>
      </c>
      <c r="D496" t="s">
        <v>33</v>
      </c>
      <c r="E496" t="s">
        <v>24</v>
      </c>
      <c r="F496">
        <v>11</v>
      </c>
      <c r="G496">
        <v>117.82</v>
      </c>
      <c r="H496">
        <v>0.15</v>
      </c>
      <c r="I496">
        <v>1101.5899999999999</v>
      </c>
      <c r="J496">
        <v>713.32</v>
      </c>
      <c r="K496">
        <v>388.26</v>
      </c>
    </row>
    <row r="497" spans="1:11" x14ac:dyDescent="0.3">
      <c r="A497" t="s">
        <v>521</v>
      </c>
      <c r="B497" s="81">
        <v>45998</v>
      </c>
      <c r="C497" t="s">
        <v>28</v>
      </c>
      <c r="D497" t="s">
        <v>33</v>
      </c>
      <c r="E497" t="s">
        <v>18</v>
      </c>
      <c r="F497">
        <v>10</v>
      </c>
      <c r="G497">
        <v>817.59</v>
      </c>
      <c r="H497">
        <v>0.15</v>
      </c>
      <c r="I497">
        <v>6949.49</v>
      </c>
      <c r="J497">
        <v>3679.99</v>
      </c>
      <c r="K497">
        <v>3269.49</v>
      </c>
    </row>
    <row r="498" spans="1:11" x14ac:dyDescent="0.3">
      <c r="A498" t="s">
        <v>522</v>
      </c>
      <c r="B498" s="81">
        <v>45701</v>
      </c>
      <c r="C498" t="s">
        <v>21</v>
      </c>
      <c r="D498" t="s">
        <v>17</v>
      </c>
      <c r="E498" t="s">
        <v>18</v>
      </c>
      <c r="F498">
        <v>1</v>
      </c>
      <c r="G498">
        <v>462.72</v>
      </c>
      <c r="H498">
        <v>0.05</v>
      </c>
      <c r="I498">
        <v>439.58</v>
      </c>
      <c r="J498">
        <v>343.02</v>
      </c>
      <c r="K498">
        <v>96.56</v>
      </c>
    </row>
    <row r="499" spans="1:11" x14ac:dyDescent="0.3">
      <c r="A499" t="s">
        <v>523</v>
      </c>
      <c r="B499" s="81">
        <v>45735</v>
      </c>
      <c r="C499" t="s">
        <v>12</v>
      </c>
      <c r="D499" t="s">
        <v>17</v>
      </c>
      <c r="E499" t="s">
        <v>22</v>
      </c>
      <c r="F499">
        <v>2</v>
      </c>
      <c r="G499">
        <v>424.18</v>
      </c>
      <c r="H499">
        <v>0.1</v>
      </c>
      <c r="I499">
        <v>763.53</v>
      </c>
      <c r="J499">
        <v>369.08</v>
      </c>
      <c r="K499">
        <v>394.45</v>
      </c>
    </row>
    <row r="500" spans="1:11" x14ac:dyDescent="0.3">
      <c r="A500" t="s">
        <v>524</v>
      </c>
      <c r="B500" s="81">
        <v>45994</v>
      </c>
      <c r="C500" t="s">
        <v>16</v>
      </c>
      <c r="D500" t="s">
        <v>17</v>
      </c>
      <c r="E500" t="s">
        <v>22</v>
      </c>
      <c r="F500">
        <v>2</v>
      </c>
      <c r="G500">
        <v>459.31</v>
      </c>
      <c r="H500">
        <v>0</v>
      </c>
      <c r="I500">
        <v>918.63</v>
      </c>
      <c r="J500">
        <v>480.27</v>
      </c>
      <c r="K500">
        <v>438.36</v>
      </c>
    </row>
    <row r="501" spans="1:11" x14ac:dyDescent="0.3">
      <c r="A501" t="s">
        <v>525</v>
      </c>
      <c r="B501" s="81">
        <v>45808</v>
      </c>
      <c r="C501" t="s">
        <v>16</v>
      </c>
      <c r="D501" t="s">
        <v>17</v>
      </c>
      <c r="E501" t="s">
        <v>26</v>
      </c>
      <c r="F501">
        <v>11</v>
      </c>
      <c r="G501">
        <v>593.09</v>
      </c>
      <c r="H501">
        <v>0.05</v>
      </c>
      <c r="I501">
        <v>6197.74</v>
      </c>
      <c r="J501">
        <v>4492.21</v>
      </c>
      <c r="K501">
        <v>1705.53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sheetPr>
  <dimension ref="A1:P975"/>
  <sheetViews>
    <sheetView workbookViewId="0">
      <pane ySplit="1" topLeftCell="A2" activePane="bottomLeft" state="frozen"/>
      <selection pane="bottomLeft" activeCell="O10" sqref="O10"/>
    </sheetView>
  </sheetViews>
  <sheetFormatPr defaultRowHeight="14.4" x14ac:dyDescent="0.3"/>
  <cols>
    <col min="1" max="1" width="12.44140625" bestFit="1" customWidth="1"/>
    <col min="2" max="2" width="15.33203125" customWidth="1"/>
    <col min="3" max="3" width="11.21875" bestFit="1" customWidth="1"/>
    <col min="4" max="4" width="13" customWidth="1"/>
    <col min="5" max="5" width="14" customWidth="1"/>
    <col min="6" max="6" width="9.77734375" bestFit="1" customWidth="1"/>
    <col min="7" max="7" width="13.5546875" bestFit="1" customWidth="1"/>
    <col min="8" max="9" width="12.77734375" bestFit="1" customWidth="1"/>
    <col min="10" max="10" width="9.109375" bestFit="1" customWidth="1"/>
    <col min="11" max="11" width="10.109375" bestFit="1" customWidth="1"/>
    <col min="12" max="12" width="16.5546875" bestFit="1" customWidth="1"/>
    <col min="13" max="13" width="23" bestFit="1" customWidth="1"/>
  </cols>
  <sheetData>
    <row r="1" spans="1:16" x14ac:dyDescent="0.3">
      <c r="A1" s="83" t="s">
        <v>0</v>
      </c>
      <c r="B1" s="83" t="s">
        <v>1</v>
      </c>
      <c r="C1" s="83" t="s">
        <v>2</v>
      </c>
      <c r="D1" s="83" t="s">
        <v>3</v>
      </c>
      <c r="E1" s="83" t="s">
        <v>4</v>
      </c>
      <c r="F1" s="83" t="s">
        <v>5</v>
      </c>
      <c r="G1" s="83" t="s">
        <v>6</v>
      </c>
      <c r="H1" s="83" t="s">
        <v>7</v>
      </c>
      <c r="I1" s="83" t="s">
        <v>8</v>
      </c>
      <c r="J1" s="83" t="s">
        <v>9</v>
      </c>
      <c r="K1" s="83" t="s">
        <v>10</v>
      </c>
      <c r="L1" s="30" t="s">
        <v>534</v>
      </c>
    </row>
    <row r="2" spans="1:16" x14ac:dyDescent="0.3">
      <c r="A2" s="25" t="s">
        <v>11</v>
      </c>
      <c r="B2" s="26">
        <v>46006</v>
      </c>
      <c r="C2" s="25" t="s">
        <v>12</v>
      </c>
      <c r="D2" s="25" t="s">
        <v>13</v>
      </c>
      <c r="E2" s="25" t="s">
        <v>14</v>
      </c>
      <c r="F2" s="25">
        <v>5</v>
      </c>
      <c r="G2" s="29">
        <v>705.23</v>
      </c>
      <c r="H2" s="27">
        <v>0.05</v>
      </c>
      <c r="I2" s="29">
        <v>3349.83</v>
      </c>
      <c r="J2" s="29">
        <v>2355.65</v>
      </c>
      <c r="K2" s="29">
        <v>994.19</v>
      </c>
      <c r="L2" s="27">
        <f>(Table2[[#This Row],[Profit]]/Table2[[#This Row],[Revenue]])</f>
        <v>0.29678819522184713</v>
      </c>
      <c r="M2" s="1"/>
      <c r="N2" s="1"/>
      <c r="P2" s="1"/>
    </row>
    <row r="3" spans="1:16" x14ac:dyDescent="0.3">
      <c r="A3" s="25" t="s">
        <v>15</v>
      </c>
      <c r="B3" s="26">
        <v>45726</v>
      </c>
      <c r="C3" s="25" t="s">
        <v>16</v>
      </c>
      <c r="D3" s="25" t="s">
        <v>17</v>
      </c>
      <c r="E3" s="25" t="s">
        <v>18</v>
      </c>
      <c r="F3" s="25">
        <v>9</v>
      </c>
      <c r="G3" s="29">
        <v>91.77</v>
      </c>
      <c r="H3" s="27">
        <v>0.05</v>
      </c>
      <c r="I3" s="29">
        <v>784.62</v>
      </c>
      <c r="J3" s="29">
        <v>357.45</v>
      </c>
      <c r="K3" s="29">
        <v>427.17</v>
      </c>
      <c r="L3" s="27">
        <f>(Table2[[#This Row],[Profit]]/Table2[[#This Row],[Revenue]])</f>
        <v>0.54442915041676232</v>
      </c>
      <c r="M3" s="19"/>
    </row>
    <row r="4" spans="1:16" x14ac:dyDescent="0.3">
      <c r="A4" s="25" t="s">
        <v>19</v>
      </c>
      <c r="B4" s="26">
        <v>45983</v>
      </c>
      <c r="C4" s="25" t="s">
        <v>16</v>
      </c>
      <c r="D4" s="25" t="s">
        <v>17</v>
      </c>
      <c r="E4" s="25" t="s">
        <v>14</v>
      </c>
      <c r="F4" s="25">
        <v>8</v>
      </c>
      <c r="G4" s="29">
        <v>270.01</v>
      </c>
      <c r="H4" s="27">
        <v>0.15</v>
      </c>
      <c r="I4" s="29">
        <v>1836.06</v>
      </c>
      <c r="J4" s="29">
        <v>963.35</v>
      </c>
      <c r="K4" s="29">
        <v>872.71</v>
      </c>
      <c r="L4" s="27">
        <f>(Table2[[#This Row],[Profit]]/Table2[[#This Row],[Revenue]])</f>
        <v>0.47531671078287208</v>
      </c>
    </row>
    <row r="5" spans="1:16" x14ac:dyDescent="0.3">
      <c r="A5" s="25" t="s">
        <v>20</v>
      </c>
      <c r="B5" s="26">
        <v>45859</v>
      </c>
      <c r="C5" s="25" t="s">
        <v>21</v>
      </c>
      <c r="D5" s="25" t="s">
        <v>13</v>
      </c>
      <c r="E5" s="25" t="s">
        <v>22</v>
      </c>
      <c r="F5" s="25">
        <v>6</v>
      </c>
      <c r="G5" s="29">
        <v>679.43</v>
      </c>
      <c r="H5" s="27">
        <v>0</v>
      </c>
      <c r="I5" s="29">
        <v>4076.55</v>
      </c>
      <c r="J5" s="29">
        <v>3049.07</v>
      </c>
      <c r="K5" s="29">
        <v>1027.48</v>
      </c>
      <c r="L5" s="27">
        <f>(Table2[[#This Row],[Profit]]/Table2[[#This Row],[Revenue]])</f>
        <v>0.25204646085538013</v>
      </c>
    </row>
    <row r="6" spans="1:16" x14ac:dyDescent="0.3">
      <c r="A6" s="25" t="s">
        <v>23</v>
      </c>
      <c r="B6" s="26">
        <v>45915</v>
      </c>
      <c r="C6" s="25" t="s">
        <v>16</v>
      </c>
      <c r="D6" s="25" t="s">
        <v>17</v>
      </c>
      <c r="E6" s="25" t="s">
        <v>24</v>
      </c>
      <c r="F6" s="25">
        <v>10</v>
      </c>
      <c r="G6" s="29">
        <v>412.21</v>
      </c>
      <c r="H6" s="27">
        <v>0.05</v>
      </c>
      <c r="I6" s="29">
        <v>3916</v>
      </c>
      <c r="J6" s="29">
        <v>2252.16</v>
      </c>
      <c r="K6" s="29">
        <v>1663.85</v>
      </c>
      <c r="L6" s="27">
        <f>(Table2[[#This Row],[Profit]]/Table2[[#This Row],[Revenue]])</f>
        <v>0.42488508682328907</v>
      </c>
      <c r="N6" s="34"/>
    </row>
    <row r="7" spans="1:16" x14ac:dyDescent="0.3">
      <c r="A7" s="25" t="s">
        <v>25</v>
      </c>
      <c r="B7" s="26">
        <v>45809</v>
      </c>
      <c r="C7" s="25" t="s">
        <v>16</v>
      </c>
      <c r="D7" s="25" t="s">
        <v>17</v>
      </c>
      <c r="E7" s="25" t="s">
        <v>26</v>
      </c>
      <c r="F7" s="25">
        <v>8</v>
      </c>
      <c r="G7" s="29">
        <v>323.64999999999998</v>
      </c>
      <c r="H7" s="27">
        <v>0</v>
      </c>
      <c r="I7" s="29">
        <v>2589.1999999999998</v>
      </c>
      <c r="J7" s="29">
        <v>1569.77</v>
      </c>
      <c r="K7" s="29">
        <v>1019.43</v>
      </c>
      <c r="L7" s="27">
        <f>(Table2[[#This Row],[Profit]]/Table2[[#This Row],[Revenue]])</f>
        <v>0.39372393017148155</v>
      </c>
    </row>
    <row r="8" spans="1:16" x14ac:dyDescent="0.3">
      <c r="A8" s="25" t="s">
        <v>27</v>
      </c>
      <c r="B8" s="26">
        <v>45677</v>
      </c>
      <c r="C8" s="25" t="s">
        <v>28</v>
      </c>
      <c r="D8" s="25" t="s">
        <v>17</v>
      </c>
      <c r="E8" s="25" t="s">
        <v>29</v>
      </c>
      <c r="F8" s="25">
        <v>5</v>
      </c>
      <c r="G8" s="29">
        <v>415.77</v>
      </c>
      <c r="H8" s="27">
        <v>0.05</v>
      </c>
      <c r="I8" s="29">
        <v>1974.89</v>
      </c>
      <c r="J8" s="29">
        <v>1343.1</v>
      </c>
      <c r="K8" s="29">
        <v>631.79</v>
      </c>
      <c r="L8" s="27">
        <f>(Table2[[#This Row],[Profit]]/Table2[[#This Row],[Revenue]])</f>
        <v>0.31991148874114506</v>
      </c>
      <c r="O8" s="1"/>
    </row>
    <row r="9" spans="1:16" x14ac:dyDescent="0.3">
      <c r="A9" s="25" t="s">
        <v>30</v>
      </c>
      <c r="B9" s="26">
        <v>45788</v>
      </c>
      <c r="C9" s="25" t="s">
        <v>28</v>
      </c>
      <c r="D9" s="25" t="s">
        <v>13</v>
      </c>
      <c r="E9" s="25" t="s">
        <v>31</v>
      </c>
      <c r="F9" s="25">
        <v>2</v>
      </c>
      <c r="G9" s="29">
        <v>385.6</v>
      </c>
      <c r="H9" s="27">
        <v>0.2</v>
      </c>
      <c r="I9" s="29">
        <v>616.96</v>
      </c>
      <c r="J9" s="29">
        <v>448.99</v>
      </c>
      <c r="K9" s="29">
        <v>167.97</v>
      </c>
      <c r="L9" s="27">
        <f>(Table2[[#This Row],[Profit]]/Table2[[#This Row],[Revenue]])</f>
        <v>0.27225427904564314</v>
      </c>
    </row>
    <row r="10" spans="1:16" x14ac:dyDescent="0.3">
      <c r="A10" s="25" t="s">
        <v>32</v>
      </c>
      <c r="B10" s="26">
        <v>45670</v>
      </c>
      <c r="C10" s="25" t="s">
        <v>12</v>
      </c>
      <c r="D10" s="25" t="s">
        <v>33</v>
      </c>
      <c r="E10" s="25" t="s">
        <v>34</v>
      </c>
      <c r="F10" s="25">
        <v>6</v>
      </c>
      <c r="G10" s="29">
        <v>596.41999999999996</v>
      </c>
      <c r="H10" s="27">
        <v>0</v>
      </c>
      <c r="I10" s="29">
        <v>3578.52</v>
      </c>
      <c r="J10" s="29">
        <v>2117.84</v>
      </c>
      <c r="K10" s="29">
        <v>1460.68</v>
      </c>
      <c r="L10" s="27">
        <f>(Table2[[#This Row],[Profit]]/Table2[[#This Row],[Revenue]])</f>
        <v>0.40817991795490877</v>
      </c>
    </row>
    <row r="11" spans="1:16" x14ac:dyDescent="0.3">
      <c r="A11" s="25" t="s">
        <v>35</v>
      </c>
      <c r="B11" s="26">
        <v>45973</v>
      </c>
      <c r="C11" s="25" t="s">
        <v>28</v>
      </c>
      <c r="D11" s="25" t="s">
        <v>17</v>
      </c>
      <c r="E11" s="25" t="s">
        <v>22</v>
      </c>
      <c r="F11" s="25">
        <v>4</v>
      </c>
      <c r="G11" s="29">
        <v>631.1</v>
      </c>
      <c r="H11" s="27">
        <v>0.2</v>
      </c>
      <c r="I11" s="29">
        <v>2019.53</v>
      </c>
      <c r="J11" s="29">
        <v>1391.49</v>
      </c>
      <c r="K11" s="29">
        <v>628.03</v>
      </c>
      <c r="L11" s="27">
        <f>(Table2[[#This Row],[Profit]]/Table2[[#This Row],[Revenue]])</f>
        <v>0.31097829693047391</v>
      </c>
    </row>
    <row r="12" spans="1:16" x14ac:dyDescent="0.3">
      <c r="A12" s="25" t="s">
        <v>36</v>
      </c>
      <c r="B12" s="26">
        <v>45697</v>
      </c>
      <c r="C12" s="25" t="s">
        <v>28</v>
      </c>
      <c r="D12" s="25" t="s">
        <v>33</v>
      </c>
      <c r="E12" s="25" t="s">
        <v>22</v>
      </c>
      <c r="F12" s="25">
        <v>9</v>
      </c>
      <c r="G12" s="29">
        <v>783.65</v>
      </c>
      <c r="H12" s="27">
        <v>0</v>
      </c>
      <c r="I12" s="29">
        <v>7052.85</v>
      </c>
      <c r="J12" s="29">
        <v>4279.4399999999996</v>
      </c>
      <c r="K12" s="29">
        <v>2773.42</v>
      </c>
      <c r="L12" s="27">
        <f>(Table2[[#This Row],[Profit]]/Table2[[#This Row],[Revenue]])</f>
        <v>0.3932339408891441</v>
      </c>
    </row>
    <row r="13" spans="1:16" x14ac:dyDescent="0.3">
      <c r="A13" s="25" t="s">
        <v>37</v>
      </c>
      <c r="B13" s="26">
        <v>45793</v>
      </c>
      <c r="C13" s="25" t="s">
        <v>12</v>
      </c>
      <c r="D13" s="25" t="s">
        <v>13</v>
      </c>
      <c r="E13" s="25" t="s">
        <v>14</v>
      </c>
      <c r="F13" s="25">
        <v>9</v>
      </c>
      <c r="G13" s="29">
        <v>99.6</v>
      </c>
      <c r="H13" s="27">
        <v>0.1</v>
      </c>
      <c r="I13" s="29">
        <v>806.8</v>
      </c>
      <c r="J13" s="29">
        <v>476.68</v>
      </c>
      <c r="K13" s="29">
        <v>330.11</v>
      </c>
      <c r="L13" s="27">
        <f>(Table2[[#This Row],[Profit]]/Table2[[#This Row],[Revenue]])</f>
        <v>0.40915964303420926</v>
      </c>
    </row>
    <row r="14" spans="1:16" x14ac:dyDescent="0.3">
      <c r="A14" s="25" t="s">
        <v>38</v>
      </c>
      <c r="B14" s="26">
        <v>45978</v>
      </c>
      <c r="C14" s="25" t="s">
        <v>16</v>
      </c>
      <c r="D14" s="25" t="s">
        <v>13</v>
      </c>
      <c r="E14" s="25" t="s">
        <v>24</v>
      </c>
      <c r="F14" s="25">
        <v>6</v>
      </c>
      <c r="G14" s="29">
        <v>710.45</v>
      </c>
      <c r="H14" s="27">
        <v>0.2</v>
      </c>
      <c r="I14" s="29">
        <v>3410.15</v>
      </c>
      <c r="J14" s="29">
        <v>1842.45</v>
      </c>
      <c r="K14" s="29">
        <v>1567.7</v>
      </c>
      <c r="L14" s="27">
        <f>(Table2[[#This Row],[Profit]]/Table2[[#This Row],[Revenue]])</f>
        <v>0.45971584827646877</v>
      </c>
    </row>
    <row r="15" spans="1:16" x14ac:dyDescent="0.3">
      <c r="A15" s="25" t="s">
        <v>39</v>
      </c>
      <c r="B15" s="26">
        <v>45768</v>
      </c>
      <c r="C15" s="25" t="s">
        <v>16</v>
      </c>
      <c r="D15" s="25" t="s">
        <v>33</v>
      </c>
      <c r="E15" s="25" t="s">
        <v>26</v>
      </c>
      <c r="F15" s="25">
        <v>3</v>
      </c>
      <c r="G15" s="29">
        <v>477.32</v>
      </c>
      <c r="H15" s="27">
        <v>0.05</v>
      </c>
      <c r="I15" s="29">
        <v>1360.35</v>
      </c>
      <c r="J15" s="29">
        <v>982.68</v>
      </c>
      <c r="K15" s="29">
        <v>377.67</v>
      </c>
      <c r="L15" s="27">
        <f>(Table2[[#This Row],[Profit]]/Table2[[#This Row],[Revenue]])</f>
        <v>0.27762708126585073</v>
      </c>
    </row>
    <row r="16" spans="1:16" x14ac:dyDescent="0.3">
      <c r="A16" s="25" t="s">
        <v>40</v>
      </c>
      <c r="B16" s="26">
        <v>45990</v>
      </c>
      <c r="C16" s="25" t="s">
        <v>12</v>
      </c>
      <c r="D16" s="25" t="s">
        <v>17</v>
      </c>
      <c r="E16" s="25" t="s">
        <v>22</v>
      </c>
      <c r="F16" s="25">
        <v>7</v>
      </c>
      <c r="G16" s="29">
        <v>252.33</v>
      </c>
      <c r="H16" s="27">
        <v>0</v>
      </c>
      <c r="I16" s="29">
        <v>1766.34</v>
      </c>
      <c r="J16" s="29">
        <v>1025.2</v>
      </c>
      <c r="K16" s="29">
        <v>741.14</v>
      </c>
      <c r="L16" s="27">
        <f>(Table2[[#This Row],[Profit]]/Table2[[#This Row],[Revenue]])</f>
        <v>0.41959079225970086</v>
      </c>
    </row>
    <row r="17" spans="1:12" x14ac:dyDescent="0.3">
      <c r="A17" s="25" t="s">
        <v>41</v>
      </c>
      <c r="B17" s="26">
        <v>45734</v>
      </c>
      <c r="C17" s="25" t="s">
        <v>12</v>
      </c>
      <c r="D17" s="25" t="s">
        <v>13</v>
      </c>
      <c r="E17" s="25" t="s">
        <v>18</v>
      </c>
      <c r="F17" s="25">
        <v>7</v>
      </c>
      <c r="G17" s="29">
        <v>720.13</v>
      </c>
      <c r="H17" s="27">
        <v>0.1</v>
      </c>
      <c r="I17" s="29">
        <v>4536.84</v>
      </c>
      <c r="J17" s="29">
        <v>2275.23</v>
      </c>
      <c r="K17" s="29">
        <v>2261.61</v>
      </c>
      <c r="L17" s="27">
        <f>(Table2[[#This Row],[Profit]]/Table2[[#This Row],[Revenue]])</f>
        <v>0.49849895521993282</v>
      </c>
    </row>
    <row r="18" spans="1:12" x14ac:dyDescent="0.3">
      <c r="A18" s="25" t="s">
        <v>42</v>
      </c>
      <c r="B18" s="26">
        <v>45965</v>
      </c>
      <c r="C18" s="25" t="s">
        <v>28</v>
      </c>
      <c r="D18" s="25" t="s">
        <v>33</v>
      </c>
      <c r="E18" s="25" t="s">
        <v>22</v>
      </c>
      <c r="F18" s="25">
        <v>2</v>
      </c>
      <c r="G18" s="29">
        <v>434.7</v>
      </c>
      <c r="H18" s="27">
        <v>0.15</v>
      </c>
      <c r="I18" s="29">
        <v>738.99</v>
      </c>
      <c r="J18" s="29">
        <v>523.37</v>
      </c>
      <c r="K18" s="29">
        <v>215.61</v>
      </c>
      <c r="L18" s="27">
        <f>(Table2[[#This Row],[Profit]]/Table2[[#This Row],[Revenue]])</f>
        <v>0.29176308204441198</v>
      </c>
    </row>
    <row r="19" spans="1:12" x14ac:dyDescent="0.3">
      <c r="A19" s="25" t="s">
        <v>43</v>
      </c>
      <c r="B19" s="26">
        <v>45957</v>
      </c>
      <c r="C19" s="25" t="s">
        <v>28</v>
      </c>
      <c r="D19" s="25" t="s">
        <v>13</v>
      </c>
      <c r="E19" s="25" t="s">
        <v>14</v>
      </c>
      <c r="F19" s="25">
        <v>5</v>
      </c>
      <c r="G19" s="29">
        <v>361.92</v>
      </c>
      <c r="H19" s="27">
        <v>0.15</v>
      </c>
      <c r="I19" s="29">
        <v>1538.17</v>
      </c>
      <c r="J19" s="29">
        <v>806.8</v>
      </c>
      <c r="K19" s="29">
        <v>731.36</v>
      </c>
      <c r="L19" s="27">
        <f>(Table2[[#This Row],[Profit]]/Table2[[#This Row],[Revenue]])</f>
        <v>0.47547410234239385</v>
      </c>
    </row>
    <row r="20" spans="1:12" x14ac:dyDescent="0.3">
      <c r="A20" s="25" t="s">
        <v>44</v>
      </c>
      <c r="B20" s="26">
        <v>45819</v>
      </c>
      <c r="C20" s="25" t="s">
        <v>12</v>
      </c>
      <c r="D20" s="25" t="s">
        <v>17</v>
      </c>
      <c r="E20" s="25" t="s">
        <v>22</v>
      </c>
      <c r="F20" s="25">
        <v>1</v>
      </c>
      <c r="G20" s="29">
        <v>179.61</v>
      </c>
      <c r="H20" s="27">
        <v>0.15</v>
      </c>
      <c r="I20" s="29">
        <v>152.66999999999999</v>
      </c>
      <c r="J20" s="29">
        <v>99.74</v>
      </c>
      <c r="K20" s="29">
        <v>52.93</v>
      </c>
      <c r="L20" s="27">
        <f>(Table2[[#This Row],[Profit]]/Table2[[#This Row],[Revenue]])</f>
        <v>0.34669548699810049</v>
      </c>
    </row>
    <row r="21" spans="1:12" x14ac:dyDescent="0.3">
      <c r="A21" s="25" t="s">
        <v>45</v>
      </c>
      <c r="B21" s="26">
        <v>45888</v>
      </c>
      <c r="C21" s="25" t="s">
        <v>21</v>
      </c>
      <c r="D21" s="25" t="s">
        <v>33</v>
      </c>
      <c r="E21" s="25" t="s">
        <v>34</v>
      </c>
      <c r="F21" s="25">
        <v>10</v>
      </c>
      <c r="G21" s="29">
        <v>707.27</v>
      </c>
      <c r="H21" s="27">
        <v>0.15</v>
      </c>
      <c r="I21" s="29">
        <v>6011.83</v>
      </c>
      <c r="J21" s="29">
        <v>2776.18</v>
      </c>
      <c r="K21" s="29">
        <v>3235.65</v>
      </c>
      <c r="L21" s="27">
        <f>(Table2[[#This Row],[Profit]]/Table2[[#This Row],[Revenue]])</f>
        <v>0.53821382174811994</v>
      </c>
    </row>
    <row r="22" spans="1:12" x14ac:dyDescent="0.3">
      <c r="A22" s="25" t="s">
        <v>46</v>
      </c>
      <c r="B22" s="26">
        <v>45811</v>
      </c>
      <c r="C22" s="25" t="s">
        <v>12</v>
      </c>
      <c r="D22" s="25" t="s">
        <v>13</v>
      </c>
      <c r="E22" s="25" t="s">
        <v>34</v>
      </c>
      <c r="F22" s="25">
        <v>6</v>
      </c>
      <c r="G22" s="29">
        <v>257.72000000000003</v>
      </c>
      <c r="H22" s="27">
        <v>0</v>
      </c>
      <c r="I22" s="29">
        <v>1546.31</v>
      </c>
      <c r="J22" s="29">
        <v>1170.32</v>
      </c>
      <c r="K22" s="29">
        <v>375.99</v>
      </c>
      <c r="L22" s="27">
        <f>(Table2[[#This Row],[Profit]]/Table2[[#This Row],[Revenue]])</f>
        <v>0.24315305469149137</v>
      </c>
    </row>
    <row r="23" spans="1:12" x14ac:dyDescent="0.3">
      <c r="A23" s="25" t="s">
        <v>47</v>
      </c>
      <c r="B23" s="26">
        <v>45924</v>
      </c>
      <c r="C23" s="25" t="s">
        <v>21</v>
      </c>
      <c r="D23" s="25" t="s">
        <v>17</v>
      </c>
      <c r="E23" s="25" t="s">
        <v>31</v>
      </c>
      <c r="F23" s="25">
        <v>6</v>
      </c>
      <c r="G23" s="29">
        <v>820.33</v>
      </c>
      <c r="H23" s="27">
        <v>0.2</v>
      </c>
      <c r="I23" s="29">
        <v>3937.56</v>
      </c>
      <c r="J23" s="29">
        <v>2578.2600000000002</v>
      </c>
      <c r="K23" s="29">
        <v>1359.31</v>
      </c>
      <c r="L23" s="27">
        <f>(Table2[[#This Row],[Profit]]/Table2[[#This Row],[Revenue]])</f>
        <v>0.34521632686232084</v>
      </c>
    </row>
    <row r="24" spans="1:12" x14ac:dyDescent="0.3">
      <c r="A24" s="25" t="s">
        <v>48</v>
      </c>
      <c r="B24" s="26">
        <v>45968</v>
      </c>
      <c r="C24" s="25" t="s">
        <v>21</v>
      </c>
      <c r="D24" s="25" t="s">
        <v>17</v>
      </c>
      <c r="E24" s="25" t="s">
        <v>14</v>
      </c>
      <c r="F24" s="25">
        <v>9</v>
      </c>
      <c r="G24" s="29">
        <v>160.77000000000001</v>
      </c>
      <c r="H24" s="27">
        <v>0</v>
      </c>
      <c r="I24" s="29">
        <v>1446.97</v>
      </c>
      <c r="J24" s="29">
        <v>793.72</v>
      </c>
      <c r="K24" s="29">
        <v>653.25</v>
      </c>
      <c r="L24" s="27">
        <f>(Table2[[#This Row],[Profit]]/Table2[[#This Row],[Revenue]])</f>
        <v>0.45146063843756262</v>
      </c>
    </row>
    <row r="25" spans="1:12" x14ac:dyDescent="0.3">
      <c r="A25" s="25" t="s">
        <v>49</v>
      </c>
      <c r="B25" s="26">
        <v>45702</v>
      </c>
      <c r="C25" s="25" t="s">
        <v>12</v>
      </c>
      <c r="D25" s="25" t="s">
        <v>13</v>
      </c>
      <c r="E25" s="25" t="s">
        <v>18</v>
      </c>
      <c r="F25" s="25">
        <v>2</v>
      </c>
      <c r="G25" s="29">
        <v>335.03</v>
      </c>
      <c r="H25" s="27">
        <v>0</v>
      </c>
      <c r="I25" s="29">
        <v>670.06</v>
      </c>
      <c r="J25" s="29">
        <v>336.59</v>
      </c>
      <c r="K25" s="29">
        <v>333.48</v>
      </c>
      <c r="L25" s="27">
        <f>(Table2[[#This Row],[Profit]]/Table2[[#This Row],[Revenue]])</f>
        <v>0.49768677431871777</v>
      </c>
    </row>
    <row r="26" spans="1:12" x14ac:dyDescent="0.3">
      <c r="A26" s="25" t="s">
        <v>50</v>
      </c>
      <c r="B26" s="26">
        <v>45669</v>
      </c>
      <c r="C26" s="25" t="s">
        <v>21</v>
      </c>
      <c r="D26" s="25" t="s">
        <v>17</v>
      </c>
      <c r="E26" s="25" t="s">
        <v>18</v>
      </c>
      <c r="F26" s="25">
        <v>3</v>
      </c>
      <c r="G26" s="29">
        <v>392.94</v>
      </c>
      <c r="H26" s="27">
        <v>0</v>
      </c>
      <c r="I26" s="29">
        <v>1178.83</v>
      </c>
      <c r="J26" s="29">
        <v>667.19</v>
      </c>
      <c r="K26" s="29">
        <v>511.64</v>
      </c>
      <c r="L26" s="27">
        <f>(Table2[[#This Row],[Profit]]/Table2[[#This Row],[Revenue]])</f>
        <v>0.43402356573891065</v>
      </c>
    </row>
    <row r="27" spans="1:12" x14ac:dyDescent="0.3">
      <c r="A27" s="25" t="s">
        <v>51</v>
      </c>
      <c r="B27" s="26">
        <v>45881</v>
      </c>
      <c r="C27" s="25" t="s">
        <v>28</v>
      </c>
      <c r="D27" s="25" t="s">
        <v>17</v>
      </c>
      <c r="E27" s="25" t="s">
        <v>14</v>
      </c>
      <c r="F27" s="25">
        <v>5</v>
      </c>
      <c r="G27" s="29">
        <v>228.82</v>
      </c>
      <c r="H27" s="27">
        <v>0</v>
      </c>
      <c r="I27" s="29">
        <v>1144.0899999999999</v>
      </c>
      <c r="J27" s="29">
        <v>847.46</v>
      </c>
      <c r="K27" s="29">
        <v>296.64</v>
      </c>
      <c r="L27" s="27">
        <f>(Table2[[#This Row],[Profit]]/Table2[[#This Row],[Revenue]])</f>
        <v>0.25928030137489183</v>
      </c>
    </row>
    <row r="28" spans="1:12" x14ac:dyDescent="0.3">
      <c r="A28" s="25" t="s">
        <v>52</v>
      </c>
      <c r="B28" s="26">
        <v>45869</v>
      </c>
      <c r="C28" s="25" t="s">
        <v>12</v>
      </c>
      <c r="D28" s="25" t="s">
        <v>33</v>
      </c>
      <c r="E28" s="25" t="s">
        <v>18</v>
      </c>
      <c r="F28" s="25">
        <v>11</v>
      </c>
      <c r="G28" s="29">
        <v>181.06</v>
      </c>
      <c r="H28" s="27">
        <v>0.15</v>
      </c>
      <c r="I28" s="29">
        <v>1692.95</v>
      </c>
      <c r="J28" s="29">
        <v>1272.08</v>
      </c>
      <c r="K28" s="29">
        <v>420.86</v>
      </c>
      <c r="L28" s="27">
        <f>(Table2[[#This Row],[Profit]]/Table2[[#This Row],[Revenue]])</f>
        <v>0.24859564665229333</v>
      </c>
    </row>
    <row r="29" spans="1:12" x14ac:dyDescent="0.3">
      <c r="A29" s="25" t="s">
        <v>53</v>
      </c>
      <c r="B29" s="26">
        <v>46005</v>
      </c>
      <c r="C29" s="25" t="s">
        <v>16</v>
      </c>
      <c r="D29" s="25" t="s">
        <v>13</v>
      </c>
      <c r="E29" s="25" t="s">
        <v>14</v>
      </c>
      <c r="F29" s="25">
        <v>4</v>
      </c>
      <c r="G29" s="29">
        <v>628.84</v>
      </c>
      <c r="H29" s="27">
        <v>0</v>
      </c>
      <c r="I29" s="29">
        <v>2515.34</v>
      </c>
      <c r="J29" s="29">
        <v>1416.97</v>
      </c>
      <c r="K29" s="29">
        <v>1098.3699999999999</v>
      </c>
      <c r="L29" s="27">
        <f>(Table2[[#This Row],[Profit]]/Table2[[#This Row],[Revenue]])</f>
        <v>0.4366686014614326</v>
      </c>
    </row>
    <row r="30" spans="1:12" x14ac:dyDescent="0.3">
      <c r="A30" s="25" t="s">
        <v>54</v>
      </c>
      <c r="B30" s="26">
        <v>45780</v>
      </c>
      <c r="C30" s="25" t="s">
        <v>21</v>
      </c>
      <c r="D30" s="25" t="s">
        <v>17</v>
      </c>
      <c r="E30" s="25" t="s">
        <v>22</v>
      </c>
      <c r="F30" s="25">
        <v>2</v>
      </c>
      <c r="G30" s="29">
        <v>476.1</v>
      </c>
      <c r="H30" s="27">
        <v>0.05</v>
      </c>
      <c r="I30" s="29">
        <v>904.59</v>
      </c>
      <c r="J30" s="29">
        <v>507.44</v>
      </c>
      <c r="K30" s="29">
        <v>397.14</v>
      </c>
      <c r="L30" s="27">
        <f>(Table2[[#This Row],[Profit]]/Table2[[#This Row],[Revenue]])</f>
        <v>0.43902762577521304</v>
      </c>
    </row>
    <row r="31" spans="1:12" x14ac:dyDescent="0.3">
      <c r="A31" s="25" t="s">
        <v>55</v>
      </c>
      <c r="B31" s="26">
        <v>45842</v>
      </c>
      <c r="C31" s="25" t="s">
        <v>12</v>
      </c>
      <c r="D31" s="25" t="s">
        <v>13</v>
      </c>
      <c r="E31" s="25" t="s">
        <v>22</v>
      </c>
      <c r="F31" s="25">
        <v>2</v>
      </c>
      <c r="G31" s="29">
        <v>349.86</v>
      </c>
      <c r="H31" s="27">
        <v>0</v>
      </c>
      <c r="I31" s="29">
        <v>699.73</v>
      </c>
      <c r="J31" s="29">
        <v>539.87</v>
      </c>
      <c r="K31" s="29">
        <v>159.85</v>
      </c>
      <c r="L31" s="27">
        <f>(Table2[[#This Row],[Profit]]/Table2[[#This Row],[Revenue]])</f>
        <v>0.22844525745644748</v>
      </c>
    </row>
    <row r="32" spans="1:12" x14ac:dyDescent="0.3">
      <c r="A32" s="25" t="s">
        <v>56</v>
      </c>
      <c r="B32" s="26">
        <v>45842</v>
      </c>
      <c r="C32" s="25" t="s">
        <v>12</v>
      </c>
      <c r="D32" s="25" t="s">
        <v>13</v>
      </c>
      <c r="E32" s="25" t="s">
        <v>34</v>
      </c>
      <c r="F32" s="25">
        <v>5</v>
      </c>
      <c r="G32" s="29">
        <v>128.22</v>
      </c>
      <c r="H32" s="27">
        <v>0.15</v>
      </c>
      <c r="I32" s="29">
        <v>544.95000000000005</v>
      </c>
      <c r="J32" s="29">
        <v>290.51</v>
      </c>
      <c r="K32" s="29">
        <v>254.44</v>
      </c>
      <c r="L32" s="27">
        <f>(Table2[[#This Row],[Profit]]/Table2[[#This Row],[Revenue]])</f>
        <v>0.46690522066244605</v>
      </c>
    </row>
    <row r="33" spans="1:12" x14ac:dyDescent="0.3">
      <c r="A33" s="25" t="s">
        <v>57</v>
      </c>
      <c r="B33" s="26">
        <v>45984</v>
      </c>
      <c r="C33" s="25" t="s">
        <v>28</v>
      </c>
      <c r="D33" s="25" t="s">
        <v>33</v>
      </c>
      <c r="E33" s="25" t="s">
        <v>18</v>
      </c>
      <c r="F33" s="25">
        <v>7</v>
      </c>
      <c r="G33" s="29">
        <v>353.52</v>
      </c>
      <c r="H33" s="27">
        <v>0.1</v>
      </c>
      <c r="I33" s="29">
        <v>2227.19</v>
      </c>
      <c r="J33" s="29">
        <v>1466.53</v>
      </c>
      <c r="K33" s="29">
        <v>760.66</v>
      </c>
      <c r="L33" s="27">
        <f>(Table2[[#This Row],[Profit]]/Table2[[#This Row],[Revenue]])</f>
        <v>0.34153350185659953</v>
      </c>
    </row>
    <row r="34" spans="1:12" x14ac:dyDescent="0.3">
      <c r="A34" s="25" t="s">
        <v>58</v>
      </c>
      <c r="B34" s="26">
        <v>45968</v>
      </c>
      <c r="C34" s="25" t="s">
        <v>16</v>
      </c>
      <c r="D34" s="25" t="s">
        <v>33</v>
      </c>
      <c r="E34" s="25" t="s">
        <v>29</v>
      </c>
      <c r="F34" s="25">
        <v>11</v>
      </c>
      <c r="G34" s="29">
        <v>229.33</v>
      </c>
      <c r="H34" s="27">
        <v>0</v>
      </c>
      <c r="I34" s="29">
        <v>2522.6799999999998</v>
      </c>
      <c r="J34" s="29">
        <v>1789.7</v>
      </c>
      <c r="K34" s="29">
        <v>732.98</v>
      </c>
      <c r="L34" s="27">
        <f>(Table2[[#This Row],[Profit]]/Table2[[#This Row],[Revenue]])</f>
        <v>0.29055607528501437</v>
      </c>
    </row>
    <row r="35" spans="1:12" x14ac:dyDescent="0.3">
      <c r="A35" s="25" t="s">
        <v>59</v>
      </c>
      <c r="B35" s="26">
        <v>45731</v>
      </c>
      <c r="C35" s="25" t="s">
        <v>16</v>
      </c>
      <c r="D35" s="25" t="s">
        <v>13</v>
      </c>
      <c r="E35" s="25" t="s">
        <v>24</v>
      </c>
      <c r="F35" s="25">
        <v>8</v>
      </c>
      <c r="G35" s="29">
        <v>144.84</v>
      </c>
      <c r="H35" s="27">
        <v>0</v>
      </c>
      <c r="I35" s="29">
        <v>1158.71</v>
      </c>
      <c r="J35" s="29">
        <v>631.80999999999995</v>
      </c>
      <c r="K35" s="29">
        <v>526.9</v>
      </c>
      <c r="L35" s="27">
        <f>(Table2[[#This Row],[Profit]]/Table2[[#This Row],[Revenue]])</f>
        <v>0.45472982886140617</v>
      </c>
    </row>
    <row r="36" spans="1:12" x14ac:dyDescent="0.3">
      <c r="A36" s="25" t="s">
        <v>60</v>
      </c>
      <c r="B36" s="26">
        <v>45673</v>
      </c>
      <c r="C36" s="25" t="s">
        <v>16</v>
      </c>
      <c r="D36" s="25" t="s">
        <v>17</v>
      </c>
      <c r="E36" s="25" t="s">
        <v>29</v>
      </c>
      <c r="F36" s="25">
        <v>3</v>
      </c>
      <c r="G36" s="29">
        <v>653.33000000000004</v>
      </c>
      <c r="H36" s="27">
        <v>0</v>
      </c>
      <c r="I36" s="29">
        <v>1959.99</v>
      </c>
      <c r="J36" s="29">
        <v>1008.83</v>
      </c>
      <c r="K36" s="29">
        <v>951.16</v>
      </c>
      <c r="L36" s="27">
        <f>(Table2[[#This Row],[Profit]]/Table2[[#This Row],[Revenue]])</f>
        <v>0.48528819024586856</v>
      </c>
    </row>
    <row r="37" spans="1:12" x14ac:dyDescent="0.3">
      <c r="A37" s="25" t="s">
        <v>61</v>
      </c>
      <c r="B37" s="26">
        <v>45980</v>
      </c>
      <c r="C37" s="25" t="s">
        <v>28</v>
      </c>
      <c r="D37" s="25" t="s">
        <v>17</v>
      </c>
      <c r="E37" s="25" t="s">
        <v>18</v>
      </c>
      <c r="F37" s="25">
        <v>6</v>
      </c>
      <c r="G37" s="29">
        <v>542.5</v>
      </c>
      <c r="H37" s="27">
        <v>0</v>
      </c>
      <c r="I37" s="29">
        <v>3255.02</v>
      </c>
      <c r="J37" s="29">
        <v>2485.09</v>
      </c>
      <c r="K37" s="29">
        <v>769.93</v>
      </c>
      <c r="L37" s="27">
        <f>(Table2[[#This Row],[Profit]]/Table2[[#This Row],[Revenue]])</f>
        <v>0.23653618103729007</v>
      </c>
    </row>
    <row r="38" spans="1:12" x14ac:dyDescent="0.3">
      <c r="A38" s="25" t="s">
        <v>62</v>
      </c>
      <c r="B38" s="26">
        <v>46000</v>
      </c>
      <c r="C38" s="25" t="s">
        <v>12</v>
      </c>
      <c r="D38" s="25" t="s">
        <v>13</v>
      </c>
      <c r="E38" s="25" t="s">
        <v>29</v>
      </c>
      <c r="F38" s="25">
        <v>8</v>
      </c>
      <c r="G38" s="29">
        <v>572.15</v>
      </c>
      <c r="H38" s="27">
        <v>0</v>
      </c>
      <c r="I38" s="29">
        <v>4577.22</v>
      </c>
      <c r="J38" s="29">
        <v>3318.01</v>
      </c>
      <c r="K38" s="29">
        <v>1259.2</v>
      </c>
      <c r="L38" s="27">
        <f>(Table2[[#This Row],[Profit]]/Table2[[#This Row],[Revenue]])</f>
        <v>0.27510148081149693</v>
      </c>
    </row>
    <row r="39" spans="1:12" x14ac:dyDescent="0.3">
      <c r="A39" s="25" t="s">
        <v>63</v>
      </c>
      <c r="B39" s="26">
        <v>45739</v>
      </c>
      <c r="C39" s="25" t="s">
        <v>21</v>
      </c>
      <c r="D39" s="25" t="s">
        <v>17</v>
      </c>
      <c r="E39" s="25" t="s">
        <v>18</v>
      </c>
      <c r="F39" s="25">
        <v>2</v>
      </c>
      <c r="G39" s="29">
        <v>271.08999999999997</v>
      </c>
      <c r="H39" s="27">
        <v>0.05</v>
      </c>
      <c r="I39" s="29">
        <v>515.08000000000004</v>
      </c>
      <c r="J39" s="29">
        <v>345.15</v>
      </c>
      <c r="K39" s="29">
        <v>169.93</v>
      </c>
      <c r="L39" s="27">
        <f>(Table2[[#This Row],[Profit]]/Table2[[#This Row],[Revenue]])</f>
        <v>0.32990991690611166</v>
      </c>
    </row>
    <row r="40" spans="1:12" x14ac:dyDescent="0.3">
      <c r="A40" s="25" t="s">
        <v>64</v>
      </c>
      <c r="B40" s="26">
        <v>45876</v>
      </c>
      <c r="C40" s="25" t="s">
        <v>12</v>
      </c>
      <c r="D40" s="25" t="s">
        <v>33</v>
      </c>
      <c r="E40" s="25" t="s">
        <v>26</v>
      </c>
      <c r="F40" s="25">
        <v>9</v>
      </c>
      <c r="G40" s="29">
        <v>97</v>
      </c>
      <c r="H40" s="27">
        <v>0.1</v>
      </c>
      <c r="I40" s="29">
        <v>785.67</v>
      </c>
      <c r="J40" s="29">
        <v>430.79</v>
      </c>
      <c r="K40" s="29">
        <v>354.88</v>
      </c>
      <c r="L40" s="27">
        <f>(Table2[[#This Row],[Profit]]/Table2[[#This Row],[Revenue]])</f>
        <v>0.45169091348785118</v>
      </c>
    </row>
    <row r="41" spans="1:12" x14ac:dyDescent="0.3">
      <c r="A41" s="25" t="s">
        <v>65</v>
      </c>
      <c r="B41" s="26">
        <v>45836</v>
      </c>
      <c r="C41" s="25" t="s">
        <v>16</v>
      </c>
      <c r="D41" s="25" t="s">
        <v>13</v>
      </c>
      <c r="E41" s="25" t="s">
        <v>14</v>
      </c>
      <c r="F41" s="25">
        <v>6</v>
      </c>
      <c r="G41" s="29">
        <v>272.63</v>
      </c>
      <c r="H41" s="27">
        <v>0.05</v>
      </c>
      <c r="I41" s="29">
        <v>1554.01</v>
      </c>
      <c r="J41" s="29">
        <v>1088.8900000000001</v>
      </c>
      <c r="K41" s="29">
        <v>465.11</v>
      </c>
      <c r="L41" s="27">
        <f>(Table2[[#This Row],[Profit]]/Table2[[#This Row],[Revenue]])</f>
        <v>0.299296658322662</v>
      </c>
    </row>
    <row r="42" spans="1:12" x14ac:dyDescent="0.3">
      <c r="A42" s="25" t="s">
        <v>66</v>
      </c>
      <c r="B42" s="26">
        <v>45818</v>
      </c>
      <c r="C42" s="25" t="s">
        <v>21</v>
      </c>
      <c r="D42" s="25" t="s">
        <v>13</v>
      </c>
      <c r="E42" s="25" t="s">
        <v>26</v>
      </c>
      <c r="F42" s="25">
        <v>9</v>
      </c>
      <c r="G42" s="29">
        <v>681.86</v>
      </c>
      <c r="H42" s="27">
        <v>0.1</v>
      </c>
      <c r="I42" s="29">
        <v>5523.1</v>
      </c>
      <c r="J42" s="29">
        <v>4213.8500000000004</v>
      </c>
      <c r="K42" s="29">
        <v>1309.25</v>
      </c>
      <c r="L42" s="27">
        <f>(Table2[[#This Row],[Profit]]/Table2[[#This Row],[Revenue]])</f>
        <v>0.23704984519563288</v>
      </c>
    </row>
    <row r="43" spans="1:12" x14ac:dyDescent="0.3">
      <c r="A43" s="25" t="s">
        <v>67</v>
      </c>
      <c r="B43" s="26">
        <v>45737</v>
      </c>
      <c r="C43" s="25" t="s">
        <v>16</v>
      </c>
      <c r="D43" s="25" t="s">
        <v>33</v>
      </c>
      <c r="E43" s="25" t="s">
        <v>24</v>
      </c>
      <c r="F43" s="25">
        <v>3</v>
      </c>
      <c r="G43" s="29">
        <v>117.41</v>
      </c>
      <c r="H43" s="27">
        <v>0</v>
      </c>
      <c r="I43" s="29">
        <v>352.22</v>
      </c>
      <c r="J43" s="29">
        <v>248.81</v>
      </c>
      <c r="K43" s="29">
        <v>103.41</v>
      </c>
      <c r="L43" s="27">
        <f>(Table2[[#This Row],[Profit]]/Table2[[#This Row],[Revenue]])</f>
        <v>0.29359491227073986</v>
      </c>
    </row>
    <row r="44" spans="1:12" x14ac:dyDescent="0.3">
      <c r="A44" s="25" t="s">
        <v>68</v>
      </c>
      <c r="B44" s="26">
        <v>45822</v>
      </c>
      <c r="C44" s="25" t="s">
        <v>21</v>
      </c>
      <c r="D44" s="25" t="s">
        <v>33</v>
      </c>
      <c r="E44" s="25" t="s">
        <v>29</v>
      </c>
      <c r="F44" s="25">
        <v>10</v>
      </c>
      <c r="G44" s="29">
        <v>513.23</v>
      </c>
      <c r="H44" s="27">
        <v>0.1</v>
      </c>
      <c r="I44" s="29">
        <v>4619.0600000000004</v>
      </c>
      <c r="J44" s="29">
        <v>3196.82</v>
      </c>
      <c r="K44" s="29">
        <v>1422.24</v>
      </c>
      <c r="L44" s="27">
        <f>(Table2[[#This Row],[Profit]]/Table2[[#This Row],[Revenue]])</f>
        <v>0.30790680354877398</v>
      </c>
    </row>
    <row r="45" spans="1:12" x14ac:dyDescent="0.3">
      <c r="A45" s="25" t="s">
        <v>69</v>
      </c>
      <c r="B45" s="26">
        <v>45805</v>
      </c>
      <c r="C45" s="25" t="s">
        <v>21</v>
      </c>
      <c r="D45" s="25" t="s">
        <v>17</v>
      </c>
      <c r="E45" s="25" t="s">
        <v>26</v>
      </c>
      <c r="F45" s="25">
        <v>4</v>
      </c>
      <c r="G45" s="29">
        <v>389.33</v>
      </c>
      <c r="H45" s="27">
        <v>0.1</v>
      </c>
      <c r="I45" s="29">
        <v>1401.57</v>
      </c>
      <c r="J45" s="29">
        <v>1074.22</v>
      </c>
      <c r="K45" s="29">
        <v>327.35000000000002</v>
      </c>
      <c r="L45" s="27">
        <f>(Table2[[#This Row],[Profit]]/Table2[[#This Row],[Revenue]])</f>
        <v>0.2335595082657306</v>
      </c>
    </row>
    <row r="46" spans="1:12" x14ac:dyDescent="0.3">
      <c r="A46" s="25" t="s">
        <v>70</v>
      </c>
      <c r="B46" s="26">
        <v>45948</v>
      </c>
      <c r="C46" s="25" t="s">
        <v>16</v>
      </c>
      <c r="D46" s="25" t="s">
        <v>33</v>
      </c>
      <c r="E46" s="25" t="s">
        <v>29</v>
      </c>
      <c r="F46" s="25">
        <v>10</v>
      </c>
      <c r="G46" s="29">
        <v>161</v>
      </c>
      <c r="H46" s="27">
        <v>0.1</v>
      </c>
      <c r="I46" s="29">
        <v>1449.04</v>
      </c>
      <c r="J46" s="29">
        <v>720.47</v>
      </c>
      <c r="K46" s="29">
        <v>728.57</v>
      </c>
      <c r="L46" s="27">
        <f>(Table2[[#This Row],[Profit]]/Table2[[#This Row],[Revenue]])</f>
        <v>0.50279495390051354</v>
      </c>
    </row>
    <row r="47" spans="1:12" x14ac:dyDescent="0.3">
      <c r="A47" s="25" t="s">
        <v>71</v>
      </c>
      <c r="B47" s="26">
        <v>45762</v>
      </c>
      <c r="C47" s="25" t="s">
        <v>28</v>
      </c>
      <c r="D47" s="25" t="s">
        <v>13</v>
      </c>
      <c r="E47" s="25" t="s">
        <v>31</v>
      </c>
      <c r="F47" s="25">
        <v>3</v>
      </c>
      <c r="G47" s="29">
        <v>838.89</v>
      </c>
      <c r="H47" s="27">
        <v>0.05</v>
      </c>
      <c r="I47" s="29">
        <v>2390.85</v>
      </c>
      <c r="J47" s="29">
        <v>1687.93</v>
      </c>
      <c r="K47" s="29">
        <v>702.92</v>
      </c>
      <c r="L47" s="27">
        <f>(Table2[[#This Row],[Profit]]/Table2[[#This Row],[Revenue]])</f>
        <v>0.29400422443900703</v>
      </c>
    </row>
    <row r="48" spans="1:12" x14ac:dyDescent="0.3">
      <c r="A48" s="25" t="s">
        <v>72</v>
      </c>
      <c r="B48" s="26">
        <v>45662</v>
      </c>
      <c r="C48" s="25" t="s">
        <v>16</v>
      </c>
      <c r="D48" s="25" t="s">
        <v>17</v>
      </c>
      <c r="E48" s="25" t="s">
        <v>34</v>
      </c>
      <c r="F48" s="25">
        <v>1</v>
      </c>
      <c r="G48" s="29">
        <v>259.42</v>
      </c>
      <c r="H48" s="27">
        <v>0.15</v>
      </c>
      <c r="I48" s="29">
        <v>220.5</v>
      </c>
      <c r="J48" s="29">
        <v>175.68</v>
      </c>
      <c r="K48" s="29">
        <v>44.82</v>
      </c>
      <c r="L48" s="27">
        <f>(Table2[[#This Row],[Profit]]/Table2[[#This Row],[Revenue]])</f>
        <v>0.20326530612244897</v>
      </c>
    </row>
    <row r="49" spans="1:12" x14ac:dyDescent="0.3">
      <c r="A49" s="25" t="s">
        <v>73</v>
      </c>
      <c r="B49" s="26">
        <v>45707</v>
      </c>
      <c r="C49" s="25" t="s">
        <v>16</v>
      </c>
      <c r="D49" s="25" t="s">
        <v>13</v>
      </c>
      <c r="E49" s="25" t="s">
        <v>24</v>
      </c>
      <c r="F49" s="25">
        <v>8</v>
      </c>
      <c r="G49" s="29">
        <v>95.79</v>
      </c>
      <c r="H49" s="27">
        <v>0.05</v>
      </c>
      <c r="I49" s="29">
        <v>728.03</v>
      </c>
      <c r="J49" s="29">
        <v>357.84</v>
      </c>
      <c r="K49" s="29">
        <v>370.19</v>
      </c>
      <c r="L49" s="27">
        <f>(Table2[[#This Row],[Profit]]/Table2[[#This Row],[Revenue]])</f>
        <v>0.50848179333269239</v>
      </c>
    </row>
    <row r="50" spans="1:12" x14ac:dyDescent="0.3">
      <c r="A50" s="25" t="s">
        <v>74</v>
      </c>
      <c r="B50" s="26">
        <v>45658</v>
      </c>
      <c r="C50" s="25" t="s">
        <v>16</v>
      </c>
      <c r="D50" s="25" t="s">
        <v>13</v>
      </c>
      <c r="E50" s="25" t="s">
        <v>29</v>
      </c>
      <c r="F50" s="25">
        <v>3</v>
      </c>
      <c r="G50" s="29">
        <v>430.7</v>
      </c>
      <c r="H50" s="27">
        <v>0</v>
      </c>
      <c r="I50" s="29">
        <v>1292.0899999999999</v>
      </c>
      <c r="J50" s="29">
        <v>1033.31</v>
      </c>
      <c r="K50" s="29">
        <v>258.77999999999997</v>
      </c>
      <c r="L50" s="27">
        <f>(Table2[[#This Row],[Profit]]/Table2[[#This Row],[Revenue]])</f>
        <v>0.20028016624228961</v>
      </c>
    </row>
    <row r="51" spans="1:12" x14ac:dyDescent="0.3">
      <c r="A51" s="25" t="s">
        <v>75</v>
      </c>
      <c r="B51" s="26">
        <v>45831</v>
      </c>
      <c r="C51" s="25" t="s">
        <v>16</v>
      </c>
      <c r="D51" s="25" t="s">
        <v>17</v>
      </c>
      <c r="E51" s="25" t="s">
        <v>24</v>
      </c>
      <c r="F51" s="25">
        <v>8</v>
      </c>
      <c r="G51" s="29">
        <v>804.18</v>
      </c>
      <c r="H51" s="27">
        <v>0.15</v>
      </c>
      <c r="I51" s="29">
        <v>5468.45</v>
      </c>
      <c r="J51" s="29">
        <v>3627.14</v>
      </c>
      <c r="K51" s="29">
        <v>1841.31</v>
      </c>
      <c r="L51" s="27">
        <f>(Table2[[#This Row],[Profit]]/Table2[[#This Row],[Revenue]])</f>
        <v>0.33671515694575244</v>
      </c>
    </row>
    <row r="52" spans="1:12" x14ac:dyDescent="0.3">
      <c r="A52" s="25" t="s">
        <v>76</v>
      </c>
      <c r="B52" s="26">
        <v>45980</v>
      </c>
      <c r="C52" s="25" t="s">
        <v>12</v>
      </c>
      <c r="D52" s="25" t="s">
        <v>33</v>
      </c>
      <c r="E52" s="25" t="s">
        <v>24</v>
      </c>
      <c r="F52" s="25">
        <v>8</v>
      </c>
      <c r="G52" s="29">
        <v>111.72</v>
      </c>
      <c r="H52" s="27">
        <v>0.1</v>
      </c>
      <c r="I52" s="29">
        <v>804.42</v>
      </c>
      <c r="J52" s="29">
        <v>612.9</v>
      </c>
      <c r="K52" s="29">
        <v>191.52</v>
      </c>
      <c r="L52" s="27">
        <f>(Table2[[#This Row],[Profit]]/Table2[[#This Row],[Revenue]])</f>
        <v>0.23808458268068922</v>
      </c>
    </row>
    <row r="53" spans="1:12" x14ac:dyDescent="0.3">
      <c r="A53" s="25" t="s">
        <v>77</v>
      </c>
      <c r="B53" s="26">
        <v>45729</v>
      </c>
      <c r="C53" s="25" t="s">
        <v>21</v>
      </c>
      <c r="D53" s="25" t="s">
        <v>17</v>
      </c>
      <c r="E53" s="25" t="s">
        <v>26</v>
      </c>
      <c r="F53" s="25">
        <v>11</v>
      </c>
      <c r="G53" s="29">
        <v>225.49</v>
      </c>
      <c r="H53" s="27">
        <v>0.1</v>
      </c>
      <c r="I53" s="29">
        <v>2232.31</v>
      </c>
      <c r="J53" s="29">
        <v>1296.9000000000001</v>
      </c>
      <c r="K53" s="29">
        <v>935.4</v>
      </c>
      <c r="L53" s="27">
        <f>(Table2[[#This Row],[Profit]]/Table2[[#This Row],[Revenue]])</f>
        <v>0.41902782319659904</v>
      </c>
    </row>
    <row r="54" spans="1:12" x14ac:dyDescent="0.3">
      <c r="A54" s="25" t="s">
        <v>78</v>
      </c>
      <c r="B54" s="26">
        <v>45942</v>
      </c>
      <c r="C54" s="25" t="s">
        <v>16</v>
      </c>
      <c r="D54" s="25" t="s">
        <v>17</v>
      </c>
      <c r="E54" s="25" t="s">
        <v>14</v>
      </c>
      <c r="F54" s="25">
        <v>5</v>
      </c>
      <c r="G54" s="29">
        <v>388.47</v>
      </c>
      <c r="H54" s="27">
        <v>0.05</v>
      </c>
      <c r="I54" s="29">
        <v>1845.24</v>
      </c>
      <c r="J54" s="29">
        <v>1172.94</v>
      </c>
      <c r="K54" s="29">
        <v>672.3</v>
      </c>
      <c r="L54" s="27">
        <f>(Table2[[#This Row],[Profit]]/Table2[[#This Row],[Revenue]])</f>
        <v>0.36434284971060671</v>
      </c>
    </row>
    <row r="55" spans="1:12" x14ac:dyDescent="0.3">
      <c r="A55" s="25" t="s">
        <v>79</v>
      </c>
      <c r="B55" s="26">
        <v>45686</v>
      </c>
      <c r="C55" s="25" t="s">
        <v>28</v>
      </c>
      <c r="D55" s="25" t="s">
        <v>13</v>
      </c>
      <c r="E55" s="25" t="s">
        <v>26</v>
      </c>
      <c r="F55" s="25">
        <v>1</v>
      </c>
      <c r="G55" s="29">
        <v>479.01</v>
      </c>
      <c r="H55" s="27">
        <v>0</v>
      </c>
      <c r="I55" s="29">
        <v>479.01</v>
      </c>
      <c r="J55" s="29">
        <v>348.5</v>
      </c>
      <c r="K55" s="29">
        <v>130.51</v>
      </c>
      <c r="L55" s="27">
        <f>(Table2[[#This Row],[Profit]]/Table2[[#This Row],[Revenue]])</f>
        <v>0.2724577774994259</v>
      </c>
    </row>
    <row r="56" spans="1:12" x14ac:dyDescent="0.3">
      <c r="A56" s="25" t="s">
        <v>80</v>
      </c>
      <c r="B56" s="26">
        <v>45679</v>
      </c>
      <c r="C56" s="25" t="s">
        <v>21</v>
      </c>
      <c r="D56" s="25" t="s">
        <v>17</v>
      </c>
      <c r="E56" s="25" t="s">
        <v>26</v>
      </c>
      <c r="F56" s="25">
        <v>2</v>
      </c>
      <c r="G56" s="29">
        <v>701.35</v>
      </c>
      <c r="H56" s="27">
        <v>0.05</v>
      </c>
      <c r="I56" s="29">
        <v>1332.56</v>
      </c>
      <c r="J56" s="29">
        <v>808.94</v>
      </c>
      <c r="K56" s="29">
        <v>523.62</v>
      </c>
      <c r="L56" s="27">
        <f>(Table2[[#This Row],[Profit]]/Table2[[#This Row],[Revenue]])</f>
        <v>0.39294290688599387</v>
      </c>
    </row>
    <row r="57" spans="1:12" x14ac:dyDescent="0.3">
      <c r="A57" s="25" t="s">
        <v>81</v>
      </c>
      <c r="B57" s="26">
        <v>45884</v>
      </c>
      <c r="C57" s="25" t="s">
        <v>21</v>
      </c>
      <c r="D57" s="25" t="s">
        <v>33</v>
      </c>
      <c r="E57" s="25" t="s">
        <v>29</v>
      </c>
      <c r="F57" s="25">
        <v>10</v>
      </c>
      <c r="G57" s="29">
        <v>112.29</v>
      </c>
      <c r="H57" s="27">
        <v>0.15</v>
      </c>
      <c r="I57" s="29">
        <v>954.43</v>
      </c>
      <c r="J57" s="29">
        <v>734.79</v>
      </c>
      <c r="K57" s="29">
        <v>219.64</v>
      </c>
      <c r="L57" s="27">
        <f>(Table2[[#This Row],[Profit]]/Table2[[#This Row],[Revenue]])</f>
        <v>0.23012688201334827</v>
      </c>
    </row>
    <row r="58" spans="1:12" x14ac:dyDescent="0.3">
      <c r="A58" s="25" t="s">
        <v>82</v>
      </c>
      <c r="B58" s="26">
        <v>45658</v>
      </c>
      <c r="C58" s="25" t="s">
        <v>21</v>
      </c>
      <c r="D58" s="25" t="s">
        <v>33</v>
      </c>
      <c r="E58" s="25" t="s">
        <v>24</v>
      </c>
      <c r="F58" s="25">
        <v>2</v>
      </c>
      <c r="G58" s="29">
        <v>670.47</v>
      </c>
      <c r="H58" s="27">
        <v>0</v>
      </c>
      <c r="I58" s="29">
        <v>1340.94</v>
      </c>
      <c r="J58" s="29">
        <v>843.98</v>
      </c>
      <c r="K58" s="29">
        <v>496.97</v>
      </c>
      <c r="L58" s="27">
        <f>(Table2[[#This Row],[Profit]]/Table2[[#This Row],[Revenue]])</f>
        <v>0.37061315196802241</v>
      </c>
    </row>
    <row r="59" spans="1:12" x14ac:dyDescent="0.3">
      <c r="A59" s="25" t="s">
        <v>83</v>
      </c>
      <c r="B59" s="26">
        <v>45735</v>
      </c>
      <c r="C59" s="25" t="s">
        <v>16</v>
      </c>
      <c r="D59" s="25" t="s">
        <v>33</v>
      </c>
      <c r="E59" s="25" t="s">
        <v>31</v>
      </c>
      <c r="F59" s="25">
        <v>2</v>
      </c>
      <c r="G59" s="29">
        <v>69.3</v>
      </c>
      <c r="H59" s="27">
        <v>0.2</v>
      </c>
      <c r="I59" s="29">
        <v>110.88</v>
      </c>
      <c r="J59" s="29">
        <v>66.28</v>
      </c>
      <c r="K59" s="29">
        <v>44.6</v>
      </c>
      <c r="L59" s="27">
        <f>(Table2[[#This Row],[Profit]]/Table2[[#This Row],[Revenue]])</f>
        <v>0.40223665223665228</v>
      </c>
    </row>
    <row r="60" spans="1:12" x14ac:dyDescent="0.3">
      <c r="A60" s="25" t="s">
        <v>84</v>
      </c>
      <c r="B60" s="26">
        <v>45865</v>
      </c>
      <c r="C60" s="25" t="s">
        <v>12</v>
      </c>
      <c r="D60" s="25" t="s">
        <v>33</v>
      </c>
      <c r="E60" s="25" t="s">
        <v>18</v>
      </c>
      <c r="F60" s="25">
        <v>8</v>
      </c>
      <c r="G60" s="29">
        <v>664.63</v>
      </c>
      <c r="H60" s="27">
        <v>0.15</v>
      </c>
      <c r="I60" s="29">
        <v>4519.46</v>
      </c>
      <c r="J60" s="29">
        <v>3139.28</v>
      </c>
      <c r="K60" s="29">
        <v>1380.17</v>
      </c>
      <c r="L60" s="27">
        <f>(Table2[[#This Row],[Profit]]/Table2[[#This Row],[Revenue]])</f>
        <v>0.30538382904152267</v>
      </c>
    </row>
    <row r="61" spans="1:12" x14ac:dyDescent="0.3">
      <c r="A61" s="25" t="s">
        <v>85</v>
      </c>
      <c r="B61" s="26">
        <v>46000</v>
      </c>
      <c r="C61" s="25" t="s">
        <v>28</v>
      </c>
      <c r="D61" s="25" t="s">
        <v>33</v>
      </c>
      <c r="E61" s="25" t="s">
        <v>22</v>
      </c>
      <c r="F61" s="25">
        <v>2</v>
      </c>
      <c r="G61" s="29">
        <v>383.32</v>
      </c>
      <c r="H61" s="27">
        <v>0.2</v>
      </c>
      <c r="I61" s="29">
        <v>613.32000000000005</v>
      </c>
      <c r="J61" s="29">
        <v>360.33</v>
      </c>
      <c r="K61" s="29">
        <v>252.99</v>
      </c>
      <c r="L61" s="27">
        <f>(Table2[[#This Row],[Profit]]/Table2[[#This Row],[Revenue]])</f>
        <v>0.41249266288397574</v>
      </c>
    </row>
    <row r="62" spans="1:12" x14ac:dyDescent="0.3">
      <c r="A62" s="25" t="s">
        <v>86</v>
      </c>
      <c r="B62" s="26">
        <v>45864</v>
      </c>
      <c r="C62" s="25" t="s">
        <v>21</v>
      </c>
      <c r="D62" s="25" t="s">
        <v>17</v>
      </c>
      <c r="E62" s="25" t="s">
        <v>34</v>
      </c>
      <c r="F62" s="25">
        <v>9</v>
      </c>
      <c r="G62" s="29">
        <v>18.77</v>
      </c>
      <c r="H62" s="27">
        <v>0.05</v>
      </c>
      <c r="I62" s="29">
        <v>160.49</v>
      </c>
      <c r="J62" s="29">
        <v>87.72</v>
      </c>
      <c r="K62" s="29">
        <v>72.77</v>
      </c>
      <c r="L62" s="27">
        <f>(Table2[[#This Row],[Profit]]/Table2[[#This Row],[Revenue]])</f>
        <v>0.45342388933889954</v>
      </c>
    </row>
    <row r="63" spans="1:12" x14ac:dyDescent="0.3">
      <c r="A63" s="25" t="s">
        <v>87</v>
      </c>
      <c r="B63" s="26">
        <v>45734</v>
      </c>
      <c r="C63" s="25" t="s">
        <v>12</v>
      </c>
      <c r="D63" s="25" t="s">
        <v>13</v>
      </c>
      <c r="E63" s="25" t="s">
        <v>26</v>
      </c>
      <c r="F63" s="25">
        <v>6</v>
      </c>
      <c r="G63" s="29">
        <v>19.489999999999998</v>
      </c>
      <c r="H63" s="27">
        <v>0.05</v>
      </c>
      <c r="I63" s="29">
        <v>111.09</v>
      </c>
      <c r="J63" s="29">
        <v>60.32</v>
      </c>
      <c r="K63" s="29">
        <v>50.77</v>
      </c>
      <c r="L63" s="27">
        <f>(Table2[[#This Row],[Profit]]/Table2[[#This Row],[Revenue]])</f>
        <v>0.45701683319830771</v>
      </c>
    </row>
    <row r="64" spans="1:12" x14ac:dyDescent="0.3">
      <c r="A64" s="25" t="s">
        <v>88</v>
      </c>
      <c r="B64" s="26">
        <v>45813</v>
      </c>
      <c r="C64" s="25" t="s">
        <v>21</v>
      </c>
      <c r="D64" s="25" t="s">
        <v>13</v>
      </c>
      <c r="E64" s="25" t="s">
        <v>31</v>
      </c>
      <c r="F64" s="25">
        <v>8</v>
      </c>
      <c r="G64" s="29">
        <v>318.08</v>
      </c>
      <c r="H64" s="27">
        <v>0.1</v>
      </c>
      <c r="I64" s="29">
        <v>2290.16</v>
      </c>
      <c r="J64" s="29">
        <v>1704.05</v>
      </c>
      <c r="K64" s="29">
        <v>586.1</v>
      </c>
      <c r="L64" s="27">
        <f>(Table2[[#This Row],[Profit]]/Table2[[#This Row],[Revenue]])</f>
        <v>0.25592098368672933</v>
      </c>
    </row>
    <row r="65" spans="1:12" x14ac:dyDescent="0.3">
      <c r="A65" s="25" t="s">
        <v>89</v>
      </c>
      <c r="B65" s="26">
        <v>45989</v>
      </c>
      <c r="C65" s="25" t="s">
        <v>12</v>
      </c>
      <c r="D65" s="25" t="s">
        <v>13</v>
      </c>
      <c r="E65" s="25" t="s">
        <v>14</v>
      </c>
      <c r="F65" s="25">
        <v>6</v>
      </c>
      <c r="G65" s="29">
        <v>458.37</v>
      </c>
      <c r="H65" s="27">
        <v>0.1</v>
      </c>
      <c r="I65" s="29">
        <v>2475.21</v>
      </c>
      <c r="J65" s="29">
        <v>1481.02</v>
      </c>
      <c r="K65" s="29">
        <v>994.19</v>
      </c>
      <c r="L65" s="27">
        <f>(Table2[[#This Row],[Profit]]/Table2[[#This Row],[Revenue]])</f>
        <v>0.40165884914815309</v>
      </c>
    </row>
    <row r="66" spans="1:12" x14ac:dyDescent="0.3">
      <c r="A66" s="25" t="s">
        <v>90</v>
      </c>
      <c r="B66" s="26">
        <v>45720</v>
      </c>
      <c r="C66" s="25" t="s">
        <v>16</v>
      </c>
      <c r="D66" s="25" t="s">
        <v>13</v>
      </c>
      <c r="E66" s="25" t="s">
        <v>22</v>
      </c>
      <c r="F66" s="25">
        <v>11</v>
      </c>
      <c r="G66" s="29">
        <v>310.76</v>
      </c>
      <c r="H66" s="27">
        <v>0.1</v>
      </c>
      <c r="I66" s="29">
        <v>3076.49</v>
      </c>
      <c r="J66" s="29">
        <v>1386.18</v>
      </c>
      <c r="K66" s="29">
        <v>1690.31</v>
      </c>
      <c r="L66" s="27">
        <f>(Table2[[#This Row],[Profit]]/Table2[[#This Row],[Revenue]])</f>
        <v>0.5494280820025419</v>
      </c>
    </row>
    <row r="67" spans="1:12" x14ac:dyDescent="0.3">
      <c r="A67" s="25" t="s">
        <v>91</v>
      </c>
      <c r="B67" s="26">
        <v>45754</v>
      </c>
      <c r="C67" s="25" t="s">
        <v>16</v>
      </c>
      <c r="D67" s="25" t="s">
        <v>13</v>
      </c>
      <c r="E67" s="25" t="s">
        <v>18</v>
      </c>
      <c r="F67" s="25">
        <v>9</v>
      </c>
      <c r="G67" s="29">
        <v>443.76</v>
      </c>
      <c r="H67" s="27">
        <v>0.05</v>
      </c>
      <c r="I67" s="29">
        <v>3794.11</v>
      </c>
      <c r="J67" s="29">
        <v>2206.98</v>
      </c>
      <c r="K67" s="29">
        <v>1587.13</v>
      </c>
      <c r="L67" s="27">
        <f>(Table2[[#This Row],[Profit]]/Table2[[#This Row],[Revenue]])</f>
        <v>0.41831417644717733</v>
      </c>
    </row>
    <row r="68" spans="1:12" x14ac:dyDescent="0.3">
      <c r="A68" s="25" t="s">
        <v>92</v>
      </c>
      <c r="B68" s="26">
        <v>45962</v>
      </c>
      <c r="C68" s="25" t="s">
        <v>28</v>
      </c>
      <c r="D68" s="25" t="s">
        <v>13</v>
      </c>
      <c r="E68" s="25" t="s">
        <v>14</v>
      </c>
      <c r="F68" s="25">
        <v>7</v>
      </c>
      <c r="G68" s="29">
        <v>773.98</v>
      </c>
      <c r="H68" s="27">
        <v>0</v>
      </c>
      <c r="I68" s="29">
        <v>5417.89</v>
      </c>
      <c r="J68" s="29">
        <v>3100.52</v>
      </c>
      <c r="K68" s="29">
        <v>2317.36</v>
      </c>
      <c r="L68" s="27">
        <f>(Table2[[#This Row],[Profit]]/Table2[[#This Row],[Revenue]])</f>
        <v>0.42772370793796111</v>
      </c>
    </row>
    <row r="69" spans="1:12" x14ac:dyDescent="0.3">
      <c r="A69" s="25" t="s">
        <v>93</v>
      </c>
      <c r="B69" s="26">
        <v>45699</v>
      </c>
      <c r="C69" s="25" t="s">
        <v>21</v>
      </c>
      <c r="D69" s="25" t="s">
        <v>13</v>
      </c>
      <c r="E69" s="25" t="s">
        <v>29</v>
      </c>
      <c r="F69" s="25">
        <v>5</v>
      </c>
      <c r="G69" s="29">
        <v>892.75</v>
      </c>
      <c r="H69" s="27">
        <v>0</v>
      </c>
      <c r="I69" s="29">
        <v>4463.75</v>
      </c>
      <c r="J69" s="29">
        <v>2309.2199999999998</v>
      </c>
      <c r="K69" s="29">
        <v>2154.5300000000002</v>
      </c>
      <c r="L69" s="27">
        <f>(Table2[[#This Row],[Profit]]/Table2[[#This Row],[Revenue]])</f>
        <v>0.48267264071688609</v>
      </c>
    </row>
    <row r="70" spans="1:12" x14ac:dyDescent="0.3">
      <c r="A70" s="25" t="s">
        <v>94</v>
      </c>
      <c r="B70" s="26">
        <v>46011</v>
      </c>
      <c r="C70" s="25" t="s">
        <v>12</v>
      </c>
      <c r="D70" s="25" t="s">
        <v>17</v>
      </c>
      <c r="E70" s="25" t="s">
        <v>34</v>
      </c>
      <c r="F70" s="25">
        <v>10</v>
      </c>
      <c r="G70" s="29">
        <v>110.22</v>
      </c>
      <c r="H70" s="27">
        <v>0.1</v>
      </c>
      <c r="I70" s="29">
        <v>991.96</v>
      </c>
      <c r="J70" s="29">
        <v>766.27</v>
      </c>
      <c r="K70" s="29">
        <v>225.69</v>
      </c>
      <c r="L70" s="27">
        <f>(Table2[[#This Row],[Profit]]/Table2[[#This Row],[Revenue]])</f>
        <v>0.22751925480866164</v>
      </c>
    </row>
    <row r="71" spans="1:12" x14ac:dyDescent="0.3">
      <c r="A71" s="25" t="s">
        <v>95</v>
      </c>
      <c r="B71" s="26">
        <v>45735</v>
      </c>
      <c r="C71" s="25" t="s">
        <v>21</v>
      </c>
      <c r="D71" s="25" t="s">
        <v>33</v>
      </c>
      <c r="E71" s="25" t="s">
        <v>24</v>
      </c>
      <c r="F71" s="25">
        <v>3</v>
      </c>
      <c r="G71" s="29">
        <v>865.29</v>
      </c>
      <c r="H71" s="27">
        <v>0</v>
      </c>
      <c r="I71" s="29">
        <v>2595.87</v>
      </c>
      <c r="J71" s="29">
        <v>2000.39</v>
      </c>
      <c r="K71" s="29">
        <v>595.47</v>
      </c>
      <c r="L71" s="27">
        <f>(Table2[[#This Row],[Profit]]/Table2[[#This Row],[Revenue]])</f>
        <v>0.22939130233794452</v>
      </c>
    </row>
    <row r="72" spans="1:12" x14ac:dyDescent="0.3">
      <c r="A72" s="25" t="s">
        <v>96</v>
      </c>
      <c r="B72" s="26">
        <v>45838</v>
      </c>
      <c r="C72" s="25" t="s">
        <v>28</v>
      </c>
      <c r="D72" s="25" t="s">
        <v>17</v>
      </c>
      <c r="E72" s="25" t="s">
        <v>26</v>
      </c>
      <c r="F72" s="25">
        <v>9</v>
      </c>
      <c r="G72" s="29">
        <v>550.5</v>
      </c>
      <c r="H72" s="27">
        <v>0.05</v>
      </c>
      <c r="I72" s="29">
        <v>4706.8100000000004</v>
      </c>
      <c r="J72" s="29">
        <v>2734.44</v>
      </c>
      <c r="K72" s="29">
        <v>1972.36</v>
      </c>
      <c r="L72" s="27">
        <f>(Table2[[#This Row],[Profit]]/Table2[[#This Row],[Revenue]])</f>
        <v>0.41904389597200647</v>
      </c>
    </row>
    <row r="73" spans="1:12" x14ac:dyDescent="0.3">
      <c r="A73" s="25" t="s">
        <v>97</v>
      </c>
      <c r="B73" s="26">
        <v>45987</v>
      </c>
      <c r="C73" s="25" t="s">
        <v>21</v>
      </c>
      <c r="D73" s="25" t="s">
        <v>13</v>
      </c>
      <c r="E73" s="25" t="s">
        <v>14</v>
      </c>
      <c r="F73" s="25">
        <v>5</v>
      </c>
      <c r="G73" s="29">
        <v>77.319999999999993</v>
      </c>
      <c r="H73" s="27">
        <v>0.15</v>
      </c>
      <c r="I73" s="29">
        <v>328.6</v>
      </c>
      <c r="J73" s="29">
        <v>205.25</v>
      </c>
      <c r="K73" s="29">
        <v>123.35</v>
      </c>
      <c r="L73" s="27">
        <f>(Table2[[#This Row],[Profit]]/Table2[[#This Row],[Revenue]])</f>
        <v>0.37538040170419962</v>
      </c>
    </row>
    <row r="74" spans="1:12" x14ac:dyDescent="0.3">
      <c r="A74" s="25" t="s">
        <v>98</v>
      </c>
      <c r="B74" s="26">
        <v>45777</v>
      </c>
      <c r="C74" s="25" t="s">
        <v>28</v>
      </c>
      <c r="D74" s="25" t="s">
        <v>17</v>
      </c>
      <c r="E74" s="25" t="s">
        <v>29</v>
      </c>
      <c r="F74" s="25">
        <v>6</v>
      </c>
      <c r="G74" s="29">
        <v>843.38</v>
      </c>
      <c r="H74" s="27">
        <v>0.15</v>
      </c>
      <c r="I74" s="29">
        <v>4301.25</v>
      </c>
      <c r="J74" s="29">
        <v>2085</v>
      </c>
      <c r="K74" s="29">
        <v>2216.25</v>
      </c>
      <c r="L74" s="27">
        <f>(Table2[[#This Row],[Profit]]/Table2[[#This Row],[Revenue]])</f>
        <v>0.51525719267654757</v>
      </c>
    </row>
    <row r="75" spans="1:12" x14ac:dyDescent="0.3">
      <c r="A75" s="25" t="s">
        <v>99</v>
      </c>
      <c r="B75" s="26">
        <v>45674</v>
      </c>
      <c r="C75" s="25" t="s">
        <v>16</v>
      </c>
      <c r="D75" s="25" t="s">
        <v>13</v>
      </c>
      <c r="E75" s="25" t="s">
        <v>14</v>
      </c>
      <c r="F75" s="25">
        <v>4</v>
      </c>
      <c r="G75" s="29">
        <v>357.11</v>
      </c>
      <c r="H75" s="27">
        <v>0</v>
      </c>
      <c r="I75" s="29">
        <v>1428.44</v>
      </c>
      <c r="J75" s="29">
        <v>815.11</v>
      </c>
      <c r="K75" s="29">
        <v>613.33000000000004</v>
      </c>
      <c r="L75" s="27">
        <f>(Table2[[#This Row],[Profit]]/Table2[[#This Row],[Revenue]])</f>
        <v>0.42937050208619193</v>
      </c>
    </row>
    <row r="76" spans="1:12" x14ac:dyDescent="0.3">
      <c r="A76" s="25" t="s">
        <v>100</v>
      </c>
      <c r="B76" s="26">
        <v>45850</v>
      </c>
      <c r="C76" s="25" t="s">
        <v>12</v>
      </c>
      <c r="D76" s="25" t="s">
        <v>13</v>
      </c>
      <c r="E76" s="25" t="s">
        <v>26</v>
      </c>
      <c r="F76" s="25">
        <v>5</v>
      </c>
      <c r="G76" s="29">
        <v>612.23</v>
      </c>
      <c r="H76" s="27">
        <v>0</v>
      </c>
      <c r="I76" s="29">
        <v>3061.13</v>
      </c>
      <c r="J76" s="29">
        <v>2356.91</v>
      </c>
      <c r="K76" s="29">
        <v>704.22</v>
      </c>
      <c r="L76" s="27">
        <f>(Table2[[#This Row],[Profit]]/Table2[[#This Row],[Revenue]])</f>
        <v>0.23005230094768925</v>
      </c>
    </row>
    <row r="77" spans="1:12" x14ac:dyDescent="0.3">
      <c r="A77" s="25" t="s">
        <v>101</v>
      </c>
      <c r="B77" s="26">
        <v>45743</v>
      </c>
      <c r="C77" s="25" t="s">
        <v>12</v>
      </c>
      <c r="D77" s="25" t="s">
        <v>33</v>
      </c>
      <c r="E77" s="25" t="s">
        <v>29</v>
      </c>
      <c r="F77" s="25">
        <v>5</v>
      </c>
      <c r="G77" s="29">
        <v>709.25</v>
      </c>
      <c r="H77" s="27">
        <v>0.15</v>
      </c>
      <c r="I77" s="29">
        <v>3014.32</v>
      </c>
      <c r="J77" s="29">
        <v>1487.66</v>
      </c>
      <c r="K77" s="29">
        <v>1526.66</v>
      </c>
      <c r="L77" s="27">
        <f>(Table2[[#This Row],[Profit]]/Table2[[#This Row],[Revenue]])</f>
        <v>0.50646912073038031</v>
      </c>
    </row>
    <row r="78" spans="1:12" x14ac:dyDescent="0.3">
      <c r="A78" s="25" t="s">
        <v>102</v>
      </c>
      <c r="B78" s="26">
        <v>45852</v>
      </c>
      <c r="C78" s="25" t="s">
        <v>28</v>
      </c>
      <c r="D78" s="25" t="s">
        <v>13</v>
      </c>
      <c r="E78" s="25" t="s">
        <v>22</v>
      </c>
      <c r="F78" s="25">
        <v>6</v>
      </c>
      <c r="G78" s="29">
        <v>361.95</v>
      </c>
      <c r="H78" s="27">
        <v>0</v>
      </c>
      <c r="I78" s="29">
        <v>2171.73</v>
      </c>
      <c r="J78" s="29">
        <v>1268.2</v>
      </c>
      <c r="K78" s="29">
        <v>903.53</v>
      </c>
      <c r="L78" s="27">
        <f>(Table2[[#This Row],[Profit]]/Table2[[#This Row],[Revenue]])</f>
        <v>0.41604158896363724</v>
      </c>
    </row>
    <row r="79" spans="1:12" x14ac:dyDescent="0.3">
      <c r="A79" s="25" t="s">
        <v>103</v>
      </c>
      <c r="B79" s="26">
        <v>45909</v>
      </c>
      <c r="C79" s="25" t="s">
        <v>21</v>
      </c>
      <c r="D79" s="25" t="s">
        <v>17</v>
      </c>
      <c r="E79" s="25" t="s">
        <v>34</v>
      </c>
      <c r="F79" s="25">
        <v>5</v>
      </c>
      <c r="G79" s="29">
        <v>847.39</v>
      </c>
      <c r="H79" s="27">
        <v>0.1</v>
      </c>
      <c r="I79" s="29">
        <v>3813.27</v>
      </c>
      <c r="J79" s="29">
        <v>2754.35</v>
      </c>
      <c r="K79" s="29">
        <v>1058.92</v>
      </c>
      <c r="L79" s="27">
        <f>(Table2[[#This Row],[Profit]]/Table2[[#This Row],[Revenue]])</f>
        <v>0.27769342322993129</v>
      </c>
    </row>
    <row r="80" spans="1:12" x14ac:dyDescent="0.3">
      <c r="A80" s="25" t="s">
        <v>104</v>
      </c>
      <c r="B80" s="26">
        <v>45965</v>
      </c>
      <c r="C80" s="25" t="s">
        <v>12</v>
      </c>
      <c r="D80" s="25" t="s">
        <v>13</v>
      </c>
      <c r="E80" s="25" t="s">
        <v>22</v>
      </c>
      <c r="F80" s="25">
        <v>4</v>
      </c>
      <c r="G80" s="29">
        <v>806.15</v>
      </c>
      <c r="H80" s="27">
        <v>0</v>
      </c>
      <c r="I80" s="29">
        <v>3224.59</v>
      </c>
      <c r="J80" s="29">
        <v>1737.52</v>
      </c>
      <c r="K80" s="29">
        <v>1487.07</v>
      </c>
      <c r="L80" s="27">
        <f>(Table2[[#This Row],[Profit]]/Table2[[#This Row],[Revenue]])</f>
        <v>0.46116560554985281</v>
      </c>
    </row>
    <row r="81" spans="1:12" x14ac:dyDescent="0.3">
      <c r="A81" s="25" t="s">
        <v>105</v>
      </c>
      <c r="B81" s="26">
        <v>45678</v>
      </c>
      <c r="C81" s="25" t="s">
        <v>21</v>
      </c>
      <c r="D81" s="25" t="s">
        <v>13</v>
      </c>
      <c r="E81" s="25" t="s">
        <v>29</v>
      </c>
      <c r="F81" s="25">
        <v>4</v>
      </c>
      <c r="G81" s="29">
        <v>427.89</v>
      </c>
      <c r="H81" s="27">
        <v>0</v>
      </c>
      <c r="I81" s="29">
        <v>1711.57</v>
      </c>
      <c r="J81" s="29">
        <v>1119.8</v>
      </c>
      <c r="K81" s="29">
        <v>591.77</v>
      </c>
      <c r="L81" s="27">
        <f>(Table2[[#This Row],[Profit]]/Table2[[#This Row],[Revenue]])</f>
        <v>0.34574688736072728</v>
      </c>
    </row>
    <row r="82" spans="1:12" x14ac:dyDescent="0.3">
      <c r="A82" s="25" t="s">
        <v>106</v>
      </c>
      <c r="B82" s="26">
        <v>45941</v>
      </c>
      <c r="C82" s="25" t="s">
        <v>28</v>
      </c>
      <c r="D82" s="25" t="s">
        <v>17</v>
      </c>
      <c r="E82" s="25" t="s">
        <v>34</v>
      </c>
      <c r="F82" s="25">
        <v>9</v>
      </c>
      <c r="G82" s="29">
        <v>115.19</v>
      </c>
      <c r="H82" s="27">
        <v>0.1</v>
      </c>
      <c r="I82" s="29">
        <v>933.05</v>
      </c>
      <c r="J82" s="29">
        <v>743.04</v>
      </c>
      <c r="K82" s="29">
        <v>190.01</v>
      </c>
      <c r="L82" s="27">
        <f>(Table2[[#This Row],[Profit]]/Table2[[#This Row],[Revenue]])</f>
        <v>0.20364396334601576</v>
      </c>
    </row>
    <row r="83" spans="1:12" x14ac:dyDescent="0.3">
      <c r="A83" s="25" t="s">
        <v>107</v>
      </c>
      <c r="B83" s="26">
        <v>45779</v>
      </c>
      <c r="C83" s="25" t="s">
        <v>12</v>
      </c>
      <c r="D83" s="25" t="s">
        <v>13</v>
      </c>
      <c r="E83" s="25" t="s">
        <v>14</v>
      </c>
      <c r="F83" s="25">
        <v>10</v>
      </c>
      <c r="G83" s="29">
        <v>881.87</v>
      </c>
      <c r="H83" s="27">
        <v>0</v>
      </c>
      <c r="I83" s="29">
        <v>8818.74</v>
      </c>
      <c r="J83" s="29">
        <v>4197.3</v>
      </c>
      <c r="K83" s="29">
        <v>4621.4399999999996</v>
      </c>
      <c r="L83" s="27">
        <f>(Table2[[#This Row],[Profit]]/Table2[[#This Row],[Revenue]])</f>
        <v>0.52404765306608425</v>
      </c>
    </row>
    <row r="84" spans="1:12" x14ac:dyDescent="0.3">
      <c r="A84" s="25" t="s">
        <v>108</v>
      </c>
      <c r="B84" s="26">
        <v>45800</v>
      </c>
      <c r="C84" s="25" t="s">
        <v>21</v>
      </c>
      <c r="D84" s="25" t="s">
        <v>17</v>
      </c>
      <c r="E84" s="25" t="s">
        <v>34</v>
      </c>
      <c r="F84" s="25">
        <v>2</v>
      </c>
      <c r="G84" s="29">
        <v>545.08000000000004</v>
      </c>
      <c r="H84" s="27">
        <v>0.1</v>
      </c>
      <c r="I84" s="29">
        <v>981.15</v>
      </c>
      <c r="J84" s="29">
        <v>586.72</v>
      </c>
      <c r="K84" s="29">
        <v>394.43</v>
      </c>
      <c r="L84" s="27">
        <f>(Table2[[#This Row],[Profit]]/Table2[[#This Row],[Revenue]])</f>
        <v>0.40200784793354738</v>
      </c>
    </row>
    <row r="85" spans="1:12" x14ac:dyDescent="0.3">
      <c r="A85" s="25" t="s">
        <v>109</v>
      </c>
      <c r="B85" s="26">
        <v>45998</v>
      </c>
      <c r="C85" s="25" t="s">
        <v>16</v>
      </c>
      <c r="D85" s="25" t="s">
        <v>13</v>
      </c>
      <c r="E85" s="25" t="s">
        <v>24</v>
      </c>
      <c r="F85" s="25">
        <v>7</v>
      </c>
      <c r="G85" s="29">
        <v>330.76</v>
      </c>
      <c r="H85" s="27">
        <v>0.2</v>
      </c>
      <c r="I85" s="29">
        <v>1852.27</v>
      </c>
      <c r="J85" s="29">
        <v>1428</v>
      </c>
      <c r="K85" s="29">
        <v>424.27</v>
      </c>
      <c r="L85" s="27">
        <f>(Table2[[#This Row],[Profit]]/Table2[[#This Row],[Revenue]])</f>
        <v>0.22905407958882884</v>
      </c>
    </row>
    <row r="86" spans="1:12" x14ac:dyDescent="0.3">
      <c r="A86" s="25" t="s">
        <v>110</v>
      </c>
      <c r="B86" s="26">
        <v>45835</v>
      </c>
      <c r="C86" s="25" t="s">
        <v>21</v>
      </c>
      <c r="D86" s="25" t="s">
        <v>13</v>
      </c>
      <c r="E86" s="25" t="s">
        <v>18</v>
      </c>
      <c r="F86" s="25">
        <v>5</v>
      </c>
      <c r="G86" s="29">
        <v>388.75</v>
      </c>
      <c r="H86" s="27">
        <v>0.05</v>
      </c>
      <c r="I86" s="29">
        <v>1846.55</v>
      </c>
      <c r="J86" s="29">
        <v>830.95</v>
      </c>
      <c r="K86" s="29">
        <v>1015.6</v>
      </c>
      <c r="L86" s="27">
        <f>(Table2[[#This Row],[Profit]]/Table2[[#This Row],[Revenue]])</f>
        <v>0.54999864612385263</v>
      </c>
    </row>
    <row r="87" spans="1:12" x14ac:dyDescent="0.3">
      <c r="A87" s="25" t="s">
        <v>111</v>
      </c>
      <c r="B87" s="26">
        <v>45932</v>
      </c>
      <c r="C87" s="25" t="s">
        <v>16</v>
      </c>
      <c r="D87" s="25" t="s">
        <v>13</v>
      </c>
      <c r="E87" s="25" t="s">
        <v>34</v>
      </c>
      <c r="F87" s="25">
        <v>10</v>
      </c>
      <c r="G87" s="29">
        <v>883.34</v>
      </c>
      <c r="H87" s="27">
        <v>0.2</v>
      </c>
      <c r="I87" s="29">
        <v>7066.75</v>
      </c>
      <c r="J87" s="29">
        <v>4507.75</v>
      </c>
      <c r="K87" s="29">
        <v>2559</v>
      </c>
      <c r="L87" s="27">
        <f>(Table2[[#This Row],[Profit]]/Table2[[#This Row],[Revenue]])</f>
        <v>0.36211837124562213</v>
      </c>
    </row>
    <row r="88" spans="1:12" x14ac:dyDescent="0.3">
      <c r="A88" s="25" t="s">
        <v>112</v>
      </c>
      <c r="B88" s="26">
        <v>45929</v>
      </c>
      <c r="C88" s="25" t="s">
        <v>21</v>
      </c>
      <c r="D88" s="25" t="s">
        <v>13</v>
      </c>
      <c r="E88" s="25" t="s">
        <v>22</v>
      </c>
      <c r="F88" s="25">
        <v>1</v>
      </c>
      <c r="G88" s="29">
        <v>397.27</v>
      </c>
      <c r="H88" s="27">
        <v>0.1</v>
      </c>
      <c r="I88" s="29">
        <v>357.54</v>
      </c>
      <c r="J88" s="29">
        <v>229.04</v>
      </c>
      <c r="K88" s="29">
        <v>128.51</v>
      </c>
      <c r="L88" s="27">
        <f>(Table2[[#This Row],[Profit]]/Table2[[#This Row],[Revenue]])</f>
        <v>0.35942831571292716</v>
      </c>
    </row>
    <row r="89" spans="1:12" x14ac:dyDescent="0.3">
      <c r="A89" s="25" t="s">
        <v>113</v>
      </c>
      <c r="B89" s="26">
        <v>45978</v>
      </c>
      <c r="C89" s="25" t="s">
        <v>16</v>
      </c>
      <c r="D89" s="25" t="s">
        <v>17</v>
      </c>
      <c r="E89" s="25" t="s">
        <v>14</v>
      </c>
      <c r="F89" s="25">
        <v>4</v>
      </c>
      <c r="G89" s="29">
        <v>126.59</v>
      </c>
      <c r="H89" s="27">
        <v>0</v>
      </c>
      <c r="I89" s="29">
        <v>506.37</v>
      </c>
      <c r="J89" s="29">
        <v>293.56</v>
      </c>
      <c r="K89" s="29">
        <v>212.82</v>
      </c>
      <c r="L89" s="27">
        <f>(Table2[[#This Row],[Profit]]/Table2[[#This Row],[Revenue]])</f>
        <v>0.42028556194087324</v>
      </c>
    </row>
    <row r="90" spans="1:12" x14ac:dyDescent="0.3">
      <c r="A90" s="25" t="s">
        <v>114</v>
      </c>
      <c r="B90" s="26">
        <v>45899</v>
      </c>
      <c r="C90" s="25" t="s">
        <v>16</v>
      </c>
      <c r="D90" s="25" t="s">
        <v>13</v>
      </c>
      <c r="E90" s="25" t="s">
        <v>24</v>
      </c>
      <c r="F90" s="25">
        <v>1</v>
      </c>
      <c r="G90" s="29">
        <v>593.19000000000005</v>
      </c>
      <c r="H90" s="27">
        <v>0.15</v>
      </c>
      <c r="I90" s="29">
        <v>504.21</v>
      </c>
      <c r="J90" s="29">
        <v>239.92</v>
      </c>
      <c r="K90" s="29">
        <v>264.29000000000002</v>
      </c>
      <c r="L90" s="27">
        <f>(Table2[[#This Row],[Profit]]/Table2[[#This Row],[Revenue]])</f>
        <v>0.52416651791912106</v>
      </c>
    </row>
    <row r="91" spans="1:12" x14ac:dyDescent="0.3">
      <c r="A91" s="25" t="s">
        <v>115</v>
      </c>
      <c r="B91" s="26">
        <v>45688</v>
      </c>
      <c r="C91" s="25" t="s">
        <v>12</v>
      </c>
      <c r="D91" s="25" t="s">
        <v>17</v>
      </c>
      <c r="E91" s="25" t="s">
        <v>22</v>
      </c>
      <c r="F91" s="25">
        <v>2</v>
      </c>
      <c r="G91" s="29">
        <v>84.27</v>
      </c>
      <c r="H91" s="27">
        <v>0.1</v>
      </c>
      <c r="I91" s="29">
        <v>151.68</v>
      </c>
      <c r="J91" s="29">
        <v>69.08</v>
      </c>
      <c r="K91" s="29">
        <v>82.6</v>
      </c>
      <c r="L91" s="27">
        <f>(Table2[[#This Row],[Profit]]/Table2[[#This Row],[Revenue]])</f>
        <v>0.54456751054852315</v>
      </c>
    </row>
    <row r="92" spans="1:12" x14ac:dyDescent="0.3">
      <c r="A92" s="25" t="s">
        <v>116</v>
      </c>
      <c r="B92" s="26">
        <v>45876</v>
      </c>
      <c r="C92" s="25" t="s">
        <v>16</v>
      </c>
      <c r="D92" s="25" t="s">
        <v>13</v>
      </c>
      <c r="E92" s="25" t="s">
        <v>14</v>
      </c>
      <c r="F92" s="25">
        <v>5</v>
      </c>
      <c r="G92" s="29">
        <v>821.12</v>
      </c>
      <c r="H92" s="27">
        <v>0.05</v>
      </c>
      <c r="I92" s="29">
        <v>3900.34</v>
      </c>
      <c r="J92" s="29">
        <v>1924.22</v>
      </c>
      <c r="K92" s="29">
        <v>1976.12</v>
      </c>
      <c r="L92" s="27">
        <f>(Table2[[#This Row],[Profit]]/Table2[[#This Row],[Revenue]])</f>
        <v>0.5066532661255172</v>
      </c>
    </row>
    <row r="93" spans="1:12" x14ac:dyDescent="0.3">
      <c r="A93" s="25" t="s">
        <v>117</v>
      </c>
      <c r="B93" s="26">
        <v>45779</v>
      </c>
      <c r="C93" s="25" t="s">
        <v>28</v>
      </c>
      <c r="D93" s="25" t="s">
        <v>17</v>
      </c>
      <c r="E93" s="25" t="s">
        <v>31</v>
      </c>
      <c r="F93" s="25">
        <v>8</v>
      </c>
      <c r="G93" s="29">
        <v>603.49</v>
      </c>
      <c r="H93" s="27">
        <v>0.1</v>
      </c>
      <c r="I93" s="29">
        <v>4345.09</v>
      </c>
      <c r="J93" s="29">
        <v>2035.73</v>
      </c>
      <c r="K93" s="29">
        <v>2309.36</v>
      </c>
      <c r="L93" s="27">
        <f>(Table2[[#This Row],[Profit]]/Table2[[#This Row],[Revenue]])</f>
        <v>0.5314872649358241</v>
      </c>
    </row>
    <row r="94" spans="1:12" x14ac:dyDescent="0.3">
      <c r="A94" s="25" t="s">
        <v>118</v>
      </c>
      <c r="B94" s="26">
        <v>46018</v>
      </c>
      <c r="C94" s="25" t="s">
        <v>21</v>
      </c>
      <c r="D94" s="25" t="s">
        <v>33</v>
      </c>
      <c r="E94" s="25" t="s">
        <v>14</v>
      </c>
      <c r="F94" s="25">
        <v>1</v>
      </c>
      <c r="G94" s="29">
        <v>114.92</v>
      </c>
      <c r="H94" s="27">
        <v>0.1</v>
      </c>
      <c r="I94" s="29">
        <v>103.43</v>
      </c>
      <c r="J94" s="29">
        <v>81.69</v>
      </c>
      <c r="K94" s="29">
        <v>21.74</v>
      </c>
      <c r="L94" s="27">
        <f>(Table2[[#This Row],[Profit]]/Table2[[#This Row],[Revenue]])</f>
        <v>0.21019046698250021</v>
      </c>
    </row>
    <row r="95" spans="1:12" x14ac:dyDescent="0.3">
      <c r="A95" s="25" t="s">
        <v>119</v>
      </c>
      <c r="B95" s="26">
        <v>45689</v>
      </c>
      <c r="C95" s="25" t="s">
        <v>28</v>
      </c>
      <c r="D95" s="25" t="s">
        <v>13</v>
      </c>
      <c r="E95" s="25" t="s">
        <v>34</v>
      </c>
      <c r="F95" s="25">
        <v>10</v>
      </c>
      <c r="G95" s="29">
        <v>152.35</v>
      </c>
      <c r="H95" s="27">
        <v>0.1</v>
      </c>
      <c r="I95" s="29">
        <v>1371.12</v>
      </c>
      <c r="J95" s="29">
        <v>969.04</v>
      </c>
      <c r="K95" s="29">
        <v>402.09</v>
      </c>
      <c r="L95" s="27">
        <f>(Table2[[#This Row],[Profit]]/Table2[[#This Row],[Revenue]])</f>
        <v>0.29325660773674078</v>
      </c>
    </row>
    <row r="96" spans="1:12" x14ac:dyDescent="0.3">
      <c r="A96" s="25" t="s">
        <v>120</v>
      </c>
      <c r="B96" s="26">
        <v>45896</v>
      </c>
      <c r="C96" s="25" t="s">
        <v>16</v>
      </c>
      <c r="D96" s="25" t="s">
        <v>17</v>
      </c>
      <c r="E96" s="25" t="s">
        <v>14</v>
      </c>
      <c r="F96" s="25">
        <v>6</v>
      </c>
      <c r="G96" s="29">
        <v>775.89</v>
      </c>
      <c r="H96" s="27">
        <v>0.05</v>
      </c>
      <c r="I96" s="29">
        <v>4422.55</v>
      </c>
      <c r="J96" s="29">
        <v>2693.64</v>
      </c>
      <c r="K96" s="29">
        <v>1728.91</v>
      </c>
      <c r="L96" s="27">
        <f>(Table2[[#This Row],[Profit]]/Table2[[#This Row],[Revenue]])</f>
        <v>0.39093057172897988</v>
      </c>
    </row>
    <row r="97" spans="1:12" x14ac:dyDescent="0.3">
      <c r="A97" s="25" t="s">
        <v>121</v>
      </c>
      <c r="B97" s="26">
        <v>45850</v>
      </c>
      <c r="C97" s="25" t="s">
        <v>28</v>
      </c>
      <c r="D97" s="25" t="s">
        <v>17</v>
      </c>
      <c r="E97" s="25" t="s">
        <v>24</v>
      </c>
      <c r="F97" s="25">
        <v>1</v>
      </c>
      <c r="G97" s="29">
        <v>302.45999999999998</v>
      </c>
      <c r="H97" s="27">
        <v>0</v>
      </c>
      <c r="I97" s="29">
        <v>302.45999999999998</v>
      </c>
      <c r="J97" s="29">
        <v>220.07</v>
      </c>
      <c r="K97" s="29">
        <v>82.4</v>
      </c>
      <c r="L97" s="27">
        <f>(Table2[[#This Row],[Profit]]/Table2[[#This Row],[Revenue]])</f>
        <v>0.27243271837598365</v>
      </c>
    </row>
    <row r="98" spans="1:12" x14ac:dyDescent="0.3">
      <c r="A98" s="25" t="s">
        <v>122</v>
      </c>
      <c r="B98" s="26">
        <v>45904</v>
      </c>
      <c r="C98" s="25" t="s">
        <v>16</v>
      </c>
      <c r="D98" s="25" t="s">
        <v>17</v>
      </c>
      <c r="E98" s="25" t="s">
        <v>34</v>
      </c>
      <c r="F98" s="25">
        <v>3</v>
      </c>
      <c r="G98" s="29">
        <v>545.24</v>
      </c>
      <c r="H98" s="27">
        <v>0</v>
      </c>
      <c r="I98" s="29">
        <v>1635.71</v>
      </c>
      <c r="J98" s="29">
        <v>977.51</v>
      </c>
      <c r="K98" s="29">
        <v>658.19</v>
      </c>
      <c r="L98" s="27">
        <f>(Table2[[#This Row],[Profit]]/Table2[[#This Row],[Revenue]])</f>
        <v>0.40238795385490095</v>
      </c>
    </row>
    <row r="99" spans="1:12" x14ac:dyDescent="0.3">
      <c r="A99" s="25" t="s">
        <v>123</v>
      </c>
      <c r="B99" s="26">
        <v>45672</v>
      </c>
      <c r="C99" s="25" t="s">
        <v>16</v>
      </c>
      <c r="D99" s="25" t="s">
        <v>33</v>
      </c>
      <c r="E99" s="25" t="s">
        <v>14</v>
      </c>
      <c r="F99" s="25">
        <v>5</v>
      </c>
      <c r="G99" s="29">
        <v>214.02</v>
      </c>
      <c r="H99" s="27">
        <v>0.05</v>
      </c>
      <c r="I99" s="29">
        <v>1016.58</v>
      </c>
      <c r="J99" s="29">
        <v>640.84</v>
      </c>
      <c r="K99" s="29">
        <v>375.74</v>
      </c>
      <c r="L99" s="27">
        <f>(Table2[[#This Row],[Profit]]/Table2[[#This Row],[Revenue]])</f>
        <v>0.36961183576304862</v>
      </c>
    </row>
    <row r="100" spans="1:12" x14ac:dyDescent="0.3">
      <c r="A100" s="25" t="s">
        <v>124</v>
      </c>
      <c r="B100" s="26">
        <v>45816</v>
      </c>
      <c r="C100" s="25" t="s">
        <v>12</v>
      </c>
      <c r="D100" s="25" t="s">
        <v>33</v>
      </c>
      <c r="E100" s="25" t="s">
        <v>26</v>
      </c>
      <c r="F100" s="25">
        <v>8</v>
      </c>
      <c r="G100" s="29">
        <v>463.39</v>
      </c>
      <c r="H100" s="27">
        <v>0.05</v>
      </c>
      <c r="I100" s="29">
        <v>3521.76</v>
      </c>
      <c r="J100" s="29">
        <v>1944.92</v>
      </c>
      <c r="K100" s="29">
        <v>1576.84</v>
      </c>
      <c r="L100" s="27">
        <f>(Table2[[#This Row],[Profit]]/Table2[[#This Row],[Revenue]])</f>
        <v>0.44774203807187313</v>
      </c>
    </row>
    <row r="101" spans="1:12" x14ac:dyDescent="0.3">
      <c r="A101" s="25" t="s">
        <v>125</v>
      </c>
      <c r="B101" s="26">
        <v>45764</v>
      </c>
      <c r="C101" s="25" t="s">
        <v>21</v>
      </c>
      <c r="D101" s="25" t="s">
        <v>33</v>
      </c>
      <c r="E101" s="25" t="s">
        <v>29</v>
      </c>
      <c r="F101" s="25">
        <v>9</v>
      </c>
      <c r="G101" s="29">
        <v>241.93</v>
      </c>
      <c r="H101" s="27">
        <v>0</v>
      </c>
      <c r="I101" s="29">
        <v>2177.37</v>
      </c>
      <c r="J101" s="29">
        <v>1036.25</v>
      </c>
      <c r="K101" s="29">
        <v>1141.1199999999999</v>
      </c>
      <c r="L101" s="27">
        <f>(Table2[[#This Row],[Profit]]/Table2[[#This Row],[Revenue]])</f>
        <v>0.52408180511350844</v>
      </c>
    </row>
    <row r="102" spans="1:12" x14ac:dyDescent="0.3">
      <c r="A102" s="25" t="s">
        <v>126</v>
      </c>
      <c r="B102" s="26">
        <v>45952</v>
      </c>
      <c r="C102" s="25" t="s">
        <v>28</v>
      </c>
      <c r="D102" s="25" t="s">
        <v>13</v>
      </c>
      <c r="E102" s="25" t="s">
        <v>14</v>
      </c>
      <c r="F102" s="25">
        <v>3</v>
      </c>
      <c r="G102" s="29">
        <v>538.30999999999995</v>
      </c>
      <c r="H102" s="27">
        <v>0.05</v>
      </c>
      <c r="I102" s="29">
        <v>1534.19</v>
      </c>
      <c r="J102" s="29">
        <v>1109.1300000000001</v>
      </c>
      <c r="K102" s="29">
        <v>425.06</v>
      </c>
      <c r="L102" s="27">
        <f>(Table2[[#This Row],[Profit]]/Table2[[#This Row],[Revenue]])</f>
        <v>0.27705825223733693</v>
      </c>
    </row>
    <row r="103" spans="1:12" x14ac:dyDescent="0.3">
      <c r="A103" s="25" t="s">
        <v>127</v>
      </c>
      <c r="B103" s="26">
        <v>45821</v>
      </c>
      <c r="C103" s="25" t="s">
        <v>21</v>
      </c>
      <c r="D103" s="25" t="s">
        <v>13</v>
      </c>
      <c r="E103" s="25" t="s">
        <v>31</v>
      </c>
      <c r="F103" s="25">
        <v>1</v>
      </c>
      <c r="G103" s="29">
        <v>151.22999999999999</v>
      </c>
      <c r="H103" s="27">
        <v>0</v>
      </c>
      <c r="I103" s="29">
        <v>151.22999999999999</v>
      </c>
      <c r="J103" s="29">
        <v>101.69</v>
      </c>
      <c r="K103" s="29">
        <v>49.54</v>
      </c>
      <c r="L103" s="27">
        <f>(Table2[[#This Row],[Profit]]/Table2[[#This Row],[Revenue]])</f>
        <v>0.32758050651325799</v>
      </c>
    </row>
    <row r="104" spans="1:12" x14ac:dyDescent="0.3">
      <c r="A104" s="25" t="s">
        <v>128</v>
      </c>
      <c r="B104" s="26">
        <v>45665</v>
      </c>
      <c r="C104" s="25" t="s">
        <v>28</v>
      </c>
      <c r="D104" s="25" t="s">
        <v>33</v>
      </c>
      <c r="E104" s="25" t="s">
        <v>24</v>
      </c>
      <c r="F104" s="25">
        <v>2</v>
      </c>
      <c r="G104" s="29">
        <v>256.18</v>
      </c>
      <c r="H104" s="27">
        <v>0.1</v>
      </c>
      <c r="I104" s="29">
        <v>461.13</v>
      </c>
      <c r="J104" s="29">
        <v>251.03</v>
      </c>
      <c r="K104" s="29">
        <v>210.1</v>
      </c>
      <c r="L104" s="27">
        <f>(Table2[[#This Row],[Profit]]/Table2[[#This Row],[Revenue]])</f>
        <v>0.45561989026955524</v>
      </c>
    </row>
    <row r="105" spans="1:12" x14ac:dyDescent="0.3">
      <c r="A105" s="25" t="s">
        <v>129</v>
      </c>
      <c r="B105" s="26">
        <v>45875</v>
      </c>
      <c r="C105" s="25" t="s">
        <v>28</v>
      </c>
      <c r="D105" s="25" t="s">
        <v>33</v>
      </c>
      <c r="E105" s="25" t="s">
        <v>31</v>
      </c>
      <c r="F105" s="25">
        <v>11</v>
      </c>
      <c r="G105" s="29">
        <v>245.38</v>
      </c>
      <c r="H105" s="27">
        <v>0.05</v>
      </c>
      <c r="I105" s="29">
        <v>2564.17</v>
      </c>
      <c r="J105" s="29">
        <v>1202.8599999999999</v>
      </c>
      <c r="K105" s="29">
        <v>1361.31</v>
      </c>
      <c r="L105" s="27">
        <f>(Table2[[#This Row],[Profit]]/Table2[[#This Row],[Revenue]])</f>
        <v>0.53089693741054611</v>
      </c>
    </row>
    <row r="106" spans="1:12" x14ac:dyDescent="0.3">
      <c r="A106" s="25" t="s">
        <v>130</v>
      </c>
      <c r="B106" s="26">
        <v>45732</v>
      </c>
      <c r="C106" s="25" t="s">
        <v>28</v>
      </c>
      <c r="D106" s="25" t="s">
        <v>13</v>
      </c>
      <c r="E106" s="25" t="s">
        <v>18</v>
      </c>
      <c r="F106" s="25">
        <v>9</v>
      </c>
      <c r="G106" s="29">
        <v>263.60000000000002</v>
      </c>
      <c r="H106" s="27">
        <v>0</v>
      </c>
      <c r="I106" s="29">
        <v>2372.4299999999998</v>
      </c>
      <c r="J106" s="29">
        <v>1067.82</v>
      </c>
      <c r="K106" s="29">
        <v>1304.6099999999999</v>
      </c>
      <c r="L106" s="27">
        <f>(Table2[[#This Row],[Profit]]/Table2[[#This Row],[Revenue]])</f>
        <v>0.54990452826848424</v>
      </c>
    </row>
    <row r="107" spans="1:12" x14ac:dyDescent="0.3">
      <c r="A107" s="25" t="s">
        <v>131</v>
      </c>
      <c r="B107" s="26">
        <v>45907</v>
      </c>
      <c r="C107" s="25" t="s">
        <v>16</v>
      </c>
      <c r="D107" s="25" t="s">
        <v>17</v>
      </c>
      <c r="E107" s="25" t="s">
        <v>22</v>
      </c>
      <c r="F107" s="25">
        <v>2</v>
      </c>
      <c r="G107" s="29">
        <v>249.45</v>
      </c>
      <c r="H107" s="27">
        <v>0.05</v>
      </c>
      <c r="I107" s="29">
        <v>473.96</v>
      </c>
      <c r="J107" s="29">
        <v>355.21</v>
      </c>
      <c r="K107" s="29">
        <v>118.75</v>
      </c>
      <c r="L107" s="27">
        <f>(Table2[[#This Row],[Profit]]/Table2[[#This Row],[Revenue]])</f>
        <v>0.25054856949953586</v>
      </c>
    </row>
    <row r="108" spans="1:12" x14ac:dyDescent="0.3">
      <c r="A108" s="25" t="s">
        <v>132</v>
      </c>
      <c r="B108" s="26">
        <v>45990</v>
      </c>
      <c r="C108" s="25" t="s">
        <v>21</v>
      </c>
      <c r="D108" s="25" t="s">
        <v>33</v>
      </c>
      <c r="E108" s="25" t="s">
        <v>26</v>
      </c>
      <c r="F108" s="25">
        <v>1</v>
      </c>
      <c r="G108" s="29">
        <v>723.17</v>
      </c>
      <c r="H108" s="27">
        <v>0</v>
      </c>
      <c r="I108" s="29">
        <v>723.17</v>
      </c>
      <c r="J108" s="29">
        <v>429.2</v>
      </c>
      <c r="K108" s="29">
        <v>293.97000000000003</v>
      </c>
      <c r="L108" s="27">
        <f>(Table2[[#This Row],[Profit]]/Table2[[#This Row],[Revenue]])</f>
        <v>0.40650192900701088</v>
      </c>
    </row>
    <row r="109" spans="1:12" x14ac:dyDescent="0.3">
      <c r="A109" s="25" t="s">
        <v>133</v>
      </c>
      <c r="B109" s="26">
        <v>45821</v>
      </c>
      <c r="C109" s="25" t="s">
        <v>16</v>
      </c>
      <c r="D109" s="25" t="s">
        <v>13</v>
      </c>
      <c r="E109" s="25" t="s">
        <v>26</v>
      </c>
      <c r="F109" s="25">
        <v>2</v>
      </c>
      <c r="G109" s="29">
        <v>631.75</v>
      </c>
      <c r="H109" s="27">
        <v>0</v>
      </c>
      <c r="I109" s="29">
        <v>1263.5</v>
      </c>
      <c r="J109" s="29">
        <v>636.05999999999995</v>
      </c>
      <c r="K109" s="29">
        <v>627.44000000000005</v>
      </c>
      <c r="L109" s="27">
        <f>(Table2[[#This Row],[Profit]]/Table2[[#This Row],[Revenue]])</f>
        <v>0.49658884052235858</v>
      </c>
    </row>
    <row r="110" spans="1:12" x14ac:dyDescent="0.3">
      <c r="A110" s="25" t="s">
        <v>134</v>
      </c>
      <c r="B110" s="26">
        <v>45661</v>
      </c>
      <c r="C110" s="25" t="s">
        <v>28</v>
      </c>
      <c r="D110" s="25" t="s">
        <v>13</v>
      </c>
      <c r="E110" s="25" t="s">
        <v>29</v>
      </c>
      <c r="F110" s="25">
        <v>2</v>
      </c>
      <c r="G110" s="29">
        <v>571.94000000000005</v>
      </c>
      <c r="H110" s="27">
        <v>0</v>
      </c>
      <c r="I110" s="29">
        <v>1143.8800000000001</v>
      </c>
      <c r="J110" s="29">
        <v>583.70000000000005</v>
      </c>
      <c r="K110" s="29">
        <v>560.17999999999995</v>
      </c>
      <c r="L110" s="27">
        <f>(Table2[[#This Row],[Profit]]/Table2[[#This Row],[Revenue]])</f>
        <v>0.48971920131482316</v>
      </c>
    </row>
    <row r="111" spans="1:12" x14ac:dyDescent="0.3">
      <c r="A111" s="25" t="s">
        <v>135</v>
      </c>
      <c r="B111" s="26">
        <v>45979</v>
      </c>
      <c r="C111" s="25" t="s">
        <v>12</v>
      </c>
      <c r="D111" s="25" t="s">
        <v>33</v>
      </c>
      <c r="E111" s="25" t="s">
        <v>29</v>
      </c>
      <c r="F111" s="25">
        <v>2</v>
      </c>
      <c r="G111" s="29">
        <v>384.38</v>
      </c>
      <c r="H111" s="27">
        <v>0.05</v>
      </c>
      <c r="I111" s="29">
        <v>730.32</v>
      </c>
      <c r="J111" s="29">
        <v>435.7</v>
      </c>
      <c r="K111" s="29">
        <v>294.62</v>
      </c>
      <c r="L111" s="27">
        <f>(Table2[[#This Row],[Profit]]/Table2[[#This Row],[Revenue]])</f>
        <v>0.40341220286997481</v>
      </c>
    </row>
    <row r="112" spans="1:12" x14ac:dyDescent="0.3">
      <c r="A112" s="25" t="s">
        <v>136</v>
      </c>
      <c r="B112" s="26">
        <v>45858</v>
      </c>
      <c r="C112" s="25" t="s">
        <v>28</v>
      </c>
      <c r="D112" s="25" t="s">
        <v>13</v>
      </c>
      <c r="E112" s="25" t="s">
        <v>22</v>
      </c>
      <c r="F112" s="25">
        <v>7</v>
      </c>
      <c r="G112" s="29">
        <v>104.1</v>
      </c>
      <c r="H112" s="27">
        <v>0</v>
      </c>
      <c r="I112" s="29">
        <v>728.71</v>
      </c>
      <c r="J112" s="29">
        <v>506.54</v>
      </c>
      <c r="K112" s="29">
        <v>222.18</v>
      </c>
      <c r="L112" s="27">
        <f>(Table2[[#This Row],[Profit]]/Table2[[#This Row],[Revenue]])</f>
        <v>0.30489495135238981</v>
      </c>
    </row>
    <row r="113" spans="1:12" x14ac:dyDescent="0.3">
      <c r="A113" s="25" t="s">
        <v>137</v>
      </c>
      <c r="B113" s="26">
        <v>45819</v>
      </c>
      <c r="C113" s="25" t="s">
        <v>12</v>
      </c>
      <c r="D113" s="25" t="s">
        <v>13</v>
      </c>
      <c r="E113" s="25" t="s">
        <v>14</v>
      </c>
      <c r="F113" s="25">
        <v>9</v>
      </c>
      <c r="G113" s="29">
        <v>741.95</v>
      </c>
      <c r="H113" s="27">
        <v>0</v>
      </c>
      <c r="I113" s="29">
        <v>6677.58</v>
      </c>
      <c r="J113" s="29">
        <v>3571.23</v>
      </c>
      <c r="K113" s="29">
        <v>3106.34</v>
      </c>
      <c r="L113" s="27">
        <f>(Table2[[#This Row],[Profit]]/Table2[[#This Row],[Revenue]])</f>
        <v>0.46518948481336053</v>
      </c>
    </row>
    <row r="114" spans="1:12" x14ac:dyDescent="0.3">
      <c r="A114" s="25" t="s">
        <v>138</v>
      </c>
      <c r="B114" s="26">
        <v>45682</v>
      </c>
      <c r="C114" s="25" t="s">
        <v>28</v>
      </c>
      <c r="D114" s="25" t="s">
        <v>33</v>
      </c>
      <c r="E114" s="25" t="s">
        <v>31</v>
      </c>
      <c r="F114" s="25">
        <v>7</v>
      </c>
      <c r="G114" s="29">
        <v>572.45000000000005</v>
      </c>
      <c r="H114" s="27">
        <v>0.05</v>
      </c>
      <c r="I114" s="29">
        <v>3806.77</v>
      </c>
      <c r="J114" s="29">
        <v>2759.24</v>
      </c>
      <c r="K114" s="29">
        <v>1047.53</v>
      </c>
      <c r="L114" s="27">
        <f>(Table2[[#This Row],[Profit]]/Table2[[#This Row],[Revenue]])</f>
        <v>0.27517554252029935</v>
      </c>
    </row>
    <row r="115" spans="1:12" x14ac:dyDescent="0.3">
      <c r="A115" s="25" t="s">
        <v>139</v>
      </c>
      <c r="B115" s="26">
        <v>46000</v>
      </c>
      <c r="C115" s="25" t="s">
        <v>28</v>
      </c>
      <c r="D115" s="25" t="s">
        <v>13</v>
      </c>
      <c r="E115" s="25" t="s">
        <v>22</v>
      </c>
      <c r="F115" s="25">
        <v>11</v>
      </c>
      <c r="G115" s="29">
        <v>822.99</v>
      </c>
      <c r="H115" s="27">
        <v>0</v>
      </c>
      <c r="I115" s="29">
        <v>9052.85</v>
      </c>
      <c r="J115" s="29">
        <v>5147</v>
      </c>
      <c r="K115" s="29">
        <v>3905.85</v>
      </c>
      <c r="L115" s="27">
        <f>(Table2[[#This Row],[Profit]]/Table2[[#This Row],[Revenue]])</f>
        <v>0.4314497644388231</v>
      </c>
    </row>
    <row r="116" spans="1:12" x14ac:dyDescent="0.3">
      <c r="A116" s="25" t="s">
        <v>140</v>
      </c>
      <c r="B116" s="26">
        <v>45679</v>
      </c>
      <c r="C116" s="25" t="s">
        <v>21</v>
      </c>
      <c r="D116" s="25" t="s">
        <v>33</v>
      </c>
      <c r="E116" s="25" t="s">
        <v>26</v>
      </c>
      <c r="F116" s="25">
        <v>6</v>
      </c>
      <c r="G116" s="29">
        <v>249.35</v>
      </c>
      <c r="H116" s="27">
        <v>0.05</v>
      </c>
      <c r="I116" s="29">
        <v>1421.27</v>
      </c>
      <c r="J116" s="29">
        <v>711</v>
      </c>
      <c r="K116" s="29">
        <v>710.27</v>
      </c>
      <c r="L116" s="27">
        <f>(Table2[[#This Row],[Profit]]/Table2[[#This Row],[Revenue]])</f>
        <v>0.49974318743095963</v>
      </c>
    </row>
    <row r="117" spans="1:12" x14ac:dyDescent="0.3">
      <c r="A117" s="25" t="s">
        <v>141</v>
      </c>
      <c r="B117" s="26">
        <v>45934</v>
      </c>
      <c r="C117" s="25" t="s">
        <v>16</v>
      </c>
      <c r="D117" s="25" t="s">
        <v>13</v>
      </c>
      <c r="E117" s="25" t="s">
        <v>24</v>
      </c>
      <c r="F117" s="25">
        <v>5</v>
      </c>
      <c r="G117" s="29">
        <v>354.03</v>
      </c>
      <c r="H117" s="27">
        <v>0</v>
      </c>
      <c r="I117" s="29">
        <v>1770.13</v>
      </c>
      <c r="J117" s="29">
        <v>983.33</v>
      </c>
      <c r="K117" s="29">
        <v>786.8</v>
      </c>
      <c r="L117" s="27">
        <f>(Table2[[#This Row],[Profit]]/Table2[[#This Row],[Revenue]])</f>
        <v>0.44448712806404045</v>
      </c>
    </row>
    <row r="118" spans="1:12" x14ac:dyDescent="0.3">
      <c r="A118" s="25" t="s">
        <v>142</v>
      </c>
      <c r="B118" s="26">
        <v>45927</v>
      </c>
      <c r="C118" s="25" t="s">
        <v>16</v>
      </c>
      <c r="D118" s="25" t="s">
        <v>13</v>
      </c>
      <c r="E118" s="25" t="s">
        <v>18</v>
      </c>
      <c r="F118" s="25">
        <v>3</v>
      </c>
      <c r="G118" s="29">
        <v>489.53</v>
      </c>
      <c r="H118" s="27">
        <v>0.05</v>
      </c>
      <c r="I118" s="29">
        <v>1395.15</v>
      </c>
      <c r="J118" s="29">
        <v>1034.96</v>
      </c>
      <c r="K118" s="29">
        <v>360.19</v>
      </c>
      <c r="L118" s="27">
        <f>(Table2[[#This Row],[Profit]]/Table2[[#This Row],[Revenue]])</f>
        <v>0.25817295631294124</v>
      </c>
    </row>
    <row r="119" spans="1:12" x14ac:dyDescent="0.3">
      <c r="A119" s="25" t="s">
        <v>143</v>
      </c>
      <c r="B119" s="26">
        <v>45961</v>
      </c>
      <c r="C119" s="25" t="s">
        <v>21</v>
      </c>
      <c r="D119" s="25" t="s">
        <v>17</v>
      </c>
      <c r="E119" s="25" t="s">
        <v>31</v>
      </c>
      <c r="F119" s="25">
        <v>7</v>
      </c>
      <c r="G119" s="29">
        <v>780.67</v>
      </c>
      <c r="H119" s="27">
        <v>0</v>
      </c>
      <c r="I119" s="29">
        <v>5464.7</v>
      </c>
      <c r="J119" s="29">
        <v>3105.01</v>
      </c>
      <c r="K119" s="29">
        <v>2359.6799999999998</v>
      </c>
      <c r="L119" s="27">
        <f>(Table2[[#This Row],[Profit]]/Table2[[#This Row],[Revenue]])</f>
        <v>0.43180412465460133</v>
      </c>
    </row>
    <row r="120" spans="1:12" x14ac:dyDescent="0.3">
      <c r="A120" s="25" t="s">
        <v>144</v>
      </c>
      <c r="B120" s="26">
        <v>45980</v>
      </c>
      <c r="C120" s="25" t="s">
        <v>21</v>
      </c>
      <c r="D120" s="25" t="s">
        <v>17</v>
      </c>
      <c r="E120" s="25" t="s">
        <v>26</v>
      </c>
      <c r="F120" s="25">
        <v>4</v>
      </c>
      <c r="G120" s="29">
        <v>596.02</v>
      </c>
      <c r="H120" s="27">
        <v>0.05</v>
      </c>
      <c r="I120" s="29">
        <v>2264.88</v>
      </c>
      <c r="J120" s="29">
        <v>1433.15</v>
      </c>
      <c r="K120" s="29">
        <v>831.73</v>
      </c>
      <c r="L120" s="27">
        <f>(Table2[[#This Row],[Profit]]/Table2[[#This Row],[Revenue]])</f>
        <v>0.36722916887428914</v>
      </c>
    </row>
    <row r="121" spans="1:12" x14ac:dyDescent="0.3">
      <c r="A121" s="25" t="s">
        <v>145</v>
      </c>
      <c r="B121" s="26">
        <v>45825</v>
      </c>
      <c r="C121" s="25" t="s">
        <v>21</v>
      </c>
      <c r="D121" s="25" t="s">
        <v>17</v>
      </c>
      <c r="E121" s="25" t="s">
        <v>29</v>
      </c>
      <c r="F121" s="25">
        <v>9</v>
      </c>
      <c r="G121" s="29">
        <v>694.79</v>
      </c>
      <c r="H121" s="27">
        <v>0.05</v>
      </c>
      <c r="I121" s="29">
        <v>5940.48</v>
      </c>
      <c r="J121" s="29">
        <v>2906.84</v>
      </c>
      <c r="K121" s="29">
        <v>3033.64</v>
      </c>
      <c r="L121" s="27">
        <f>(Table2[[#This Row],[Profit]]/Table2[[#This Row],[Revenue]])</f>
        <v>0.51067253824606762</v>
      </c>
    </row>
    <row r="122" spans="1:12" x14ac:dyDescent="0.3">
      <c r="A122" s="25" t="s">
        <v>146</v>
      </c>
      <c r="B122" s="26">
        <v>45819</v>
      </c>
      <c r="C122" s="25" t="s">
        <v>12</v>
      </c>
      <c r="D122" s="25" t="s">
        <v>13</v>
      </c>
      <c r="E122" s="25" t="s">
        <v>24</v>
      </c>
      <c r="F122" s="25">
        <v>6</v>
      </c>
      <c r="G122" s="29">
        <v>700.11</v>
      </c>
      <c r="H122" s="27">
        <v>0.05</v>
      </c>
      <c r="I122" s="29">
        <v>3990.65</v>
      </c>
      <c r="J122" s="29">
        <v>2543.98</v>
      </c>
      <c r="K122" s="29">
        <v>1446.67</v>
      </c>
      <c r="L122" s="27">
        <f>(Table2[[#This Row],[Profit]]/Table2[[#This Row],[Revenue]])</f>
        <v>0.36251487852856051</v>
      </c>
    </row>
    <row r="123" spans="1:12" x14ac:dyDescent="0.3">
      <c r="A123" s="25" t="s">
        <v>147</v>
      </c>
      <c r="B123" s="26">
        <v>45896</v>
      </c>
      <c r="C123" s="25" t="s">
        <v>28</v>
      </c>
      <c r="D123" s="25" t="s">
        <v>13</v>
      </c>
      <c r="E123" s="25" t="s">
        <v>34</v>
      </c>
      <c r="F123" s="25">
        <v>11</v>
      </c>
      <c r="G123" s="29">
        <v>747.17</v>
      </c>
      <c r="H123" s="27">
        <v>0.05</v>
      </c>
      <c r="I123" s="29">
        <v>7807.91</v>
      </c>
      <c r="J123" s="29">
        <v>4222.5200000000004</v>
      </c>
      <c r="K123" s="29">
        <v>3585.4</v>
      </c>
      <c r="L123" s="27">
        <f>(Table2[[#This Row],[Profit]]/Table2[[#This Row],[Revenue]])</f>
        <v>0.45920098976550705</v>
      </c>
    </row>
    <row r="124" spans="1:12" x14ac:dyDescent="0.3">
      <c r="A124" s="25" t="s">
        <v>148</v>
      </c>
      <c r="B124" s="26">
        <v>46005</v>
      </c>
      <c r="C124" s="25" t="s">
        <v>21</v>
      </c>
      <c r="D124" s="25" t="s">
        <v>13</v>
      </c>
      <c r="E124" s="25" t="s">
        <v>24</v>
      </c>
      <c r="F124" s="25">
        <v>7</v>
      </c>
      <c r="G124" s="29">
        <v>77.599999999999994</v>
      </c>
      <c r="H124" s="27">
        <v>0.1</v>
      </c>
      <c r="I124" s="29">
        <v>488.86</v>
      </c>
      <c r="J124" s="29">
        <v>227.61</v>
      </c>
      <c r="K124" s="29">
        <v>261.25</v>
      </c>
      <c r="L124" s="27">
        <f>(Table2[[#This Row],[Profit]]/Table2[[#This Row],[Revenue]])</f>
        <v>0.53440657857055185</v>
      </c>
    </row>
    <row r="125" spans="1:12" x14ac:dyDescent="0.3">
      <c r="A125" s="25" t="s">
        <v>149</v>
      </c>
      <c r="B125" s="26">
        <v>46022</v>
      </c>
      <c r="C125" s="25" t="s">
        <v>21</v>
      </c>
      <c r="D125" s="25" t="s">
        <v>17</v>
      </c>
      <c r="E125" s="25" t="s">
        <v>24</v>
      </c>
      <c r="F125" s="25">
        <v>4</v>
      </c>
      <c r="G125" s="29">
        <v>54.68</v>
      </c>
      <c r="H125" s="27">
        <v>0.1</v>
      </c>
      <c r="I125" s="29">
        <v>196.85</v>
      </c>
      <c r="J125" s="29">
        <v>144.99</v>
      </c>
      <c r="K125" s="29">
        <v>51.86</v>
      </c>
      <c r="L125" s="27">
        <f>(Table2[[#This Row],[Profit]]/Table2[[#This Row],[Revenue]])</f>
        <v>0.2634493268986538</v>
      </c>
    </row>
    <row r="126" spans="1:12" x14ac:dyDescent="0.3">
      <c r="A126" s="25" t="s">
        <v>150</v>
      </c>
      <c r="B126" s="26">
        <v>45669</v>
      </c>
      <c r="C126" s="25" t="s">
        <v>28</v>
      </c>
      <c r="D126" s="25" t="s">
        <v>33</v>
      </c>
      <c r="E126" s="25" t="s">
        <v>29</v>
      </c>
      <c r="F126" s="25">
        <v>10</v>
      </c>
      <c r="G126" s="29">
        <v>787.77</v>
      </c>
      <c r="H126" s="27">
        <v>0.05</v>
      </c>
      <c r="I126" s="29">
        <v>7483.83</v>
      </c>
      <c r="J126" s="29">
        <v>5660.96</v>
      </c>
      <c r="K126" s="29">
        <v>1822.87</v>
      </c>
      <c r="L126" s="27">
        <f>(Table2[[#This Row],[Profit]]/Table2[[#This Row],[Revenue]])</f>
        <v>0.24357447991202363</v>
      </c>
    </row>
    <row r="127" spans="1:12" x14ac:dyDescent="0.3">
      <c r="A127" s="25" t="s">
        <v>151</v>
      </c>
      <c r="B127" s="26">
        <v>45820</v>
      </c>
      <c r="C127" s="25" t="s">
        <v>16</v>
      </c>
      <c r="D127" s="25" t="s">
        <v>13</v>
      </c>
      <c r="E127" s="25" t="s">
        <v>29</v>
      </c>
      <c r="F127" s="25">
        <v>3</v>
      </c>
      <c r="G127" s="29">
        <v>530.87</v>
      </c>
      <c r="H127" s="27">
        <v>0.05</v>
      </c>
      <c r="I127" s="29">
        <v>1512.98</v>
      </c>
      <c r="J127" s="29">
        <v>805.66</v>
      </c>
      <c r="K127" s="29">
        <v>707.31</v>
      </c>
      <c r="L127" s="27">
        <f>(Table2[[#This Row],[Profit]]/Table2[[#This Row],[Revenue]])</f>
        <v>0.4674946132797525</v>
      </c>
    </row>
    <row r="128" spans="1:12" x14ac:dyDescent="0.3">
      <c r="A128" s="25" t="s">
        <v>152</v>
      </c>
      <c r="B128" s="26">
        <v>45749</v>
      </c>
      <c r="C128" s="25" t="s">
        <v>28</v>
      </c>
      <c r="D128" s="25" t="s">
        <v>33</v>
      </c>
      <c r="E128" s="25" t="s">
        <v>34</v>
      </c>
      <c r="F128" s="25">
        <v>10</v>
      </c>
      <c r="G128" s="29">
        <v>464.07</v>
      </c>
      <c r="H128" s="27">
        <v>0.05</v>
      </c>
      <c r="I128" s="29">
        <v>4408.71</v>
      </c>
      <c r="J128" s="29">
        <v>2649.91</v>
      </c>
      <c r="K128" s="29">
        <v>1758.8</v>
      </c>
      <c r="L128" s="27">
        <f>(Table2[[#This Row],[Profit]]/Table2[[#This Row],[Revenue]])</f>
        <v>0.3989375576982836</v>
      </c>
    </row>
    <row r="129" spans="1:12" x14ac:dyDescent="0.3">
      <c r="A129" s="25" t="s">
        <v>153</v>
      </c>
      <c r="B129" s="26">
        <v>45816</v>
      </c>
      <c r="C129" s="25" t="s">
        <v>28</v>
      </c>
      <c r="D129" s="25" t="s">
        <v>17</v>
      </c>
      <c r="E129" s="25" t="s">
        <v>18</v>
      </c>
      <c r="F129" s="25">
        <v>10</v>
      </c>
      <c r="G129" s="29">
        <v>578.15</v>
      </c>
      <c r="H129" s="27">
        <v>0.1</v>
      </c>
      <c r="I129" s="29">
        <v>5203.32</v>
      </c>
      <c r="J129" s="29">
        <v>3175.99</v>
      </c>
      <c r="K129" s="29">
        <v>2027.33</v>
      </c>
      <c r="L129" s="27">
        <f>(Table2[[#This Row],[Profit]]/Table2[[#This Row],[Revenue]])</f>
        <v>0.3896223949324662</v>
      </c>
    </row>
    <row r="130" spans="1:12" x14ac:dyDescent="0.3">
      <c r="A130" s="25" t="s">
        <v>154</v>
      </c>
      <c r="B130" s="26">
        <v>45883</v>
      </c>
      <c r="C130" s="25" t="s">
        <v>16</v>
      </c>
      <c r="D130" s="25" t="s">
        <v>33</v>
      </c>
      <c r="E130" s="25" t="s">
        <v>26</v>
      </c>
      <c r="F130" s="25">
        <v>1</v>
      </c>
      <c r="G130" s="29">
        <v>377.99</v>
      </c>
      <c r="H130" s="27">
        <v>0.1</v>
      </c>
      <c r="I130" s="29">
        <v>340.19</v>
      </c>
      <c r="J130" s="29">
        <v>176.52</v>
      </c>
      <c r="K130" s="29">
        <v>163.66999999999999</v>
      </c>
      <c r="L130" s="27">
        <f>(Table2[[#This Row],[Profit]]/Table2[[#This Row],[Revenue]])</f>
        <v>0.48111349539962961</v>
      </c>
    </row>
    <row r="131" spans="1:12" x14ac:dyDescent="0.3">
      <c r="A131" s="25" t="s">
        <v>155</v>
      </c>
      <c r="B131" s="26">
        <v>45687</v>
      </c>
      <c r="C131" s="25" t="s">
        <v>12</v>
      </c>
      <c r="D131" s="25" t="s">
        <v>17</v>
      </c>
      <c r="E131" s="25" t="s">
        <v>34</v>
      </c>
      <c r="F131" s="25">
        <v>9</v>
      </c>
      <c r="G131" s="29">
        <v>55.44</v>
      </c>
      <c r="H131" s="27">
        <v>0.1</v>
      </c>
      <c r="I131" s="29">
        <v>449.09</v>
      </c>
      <c r="J131" s="29">
        <v>348.78</v>
      </c>
      <c r="K131" s="29">
        <v>100.31</v>
      </c>
      <c r="L131" s="27">
        <f>(Table2[[#This Row],[Profit]]/Table2[[#This Row],[Revenue]])</f>
        <v>0.22336280032955533</v>
      </c>
    </row>
    <row r="132" spans="1:12" x14ac:dyDescent="0.3">
      <c r="A132" s="25" t="s">
        <v>156</v>
      </c>
      <c r="B132" s="26">
        <v>45878</v>
      </c>
      <c r="C132" s="25" t="s">
        <v>12</v>
      </c>
      <c r="D132" s="25" t="s">
        <v>33</v>
      </c>
      <c r="E132" s="25" t="s">
        <v>22</v>
      </c>
      <c r="F132" s="25">
        <v>9</v>
      </c>
      <c r="G132" s="29">
        <v>387.7</v>
      </c>
      <c r="H132" s="27">
        <v>0.1</v>
      </c>
      <c r="I132" s="29">
        <v>3140.39</v>
      </c>
      <c r="J132" s="29">
        <v>2330.7600000000002</v>
      </c>
      <c r="K132" s="29">
        <v>809.64</v>
      </c>
      <c r="L132" s="27">
        <f>(Table2[[#This Row],[Profit]]/Table2[[#This Row],[Revenue]])</f>
        <v>0.25781511213575387</v>
      </c>
    </row>
    <row r="133" spans="1:12" x14ac:dyDescent="0.3">
      <c r="A133" s="25" t="s">
        <v>157</v>
      </c>
      <c r="B133" s="26">
        <v>45895</v>
      </c>
      <c r="C133" s="25" t="s">
        <v>12</v>
      </c>
      <c r="D133" s="25" t="s">
        <v>33</v>
      </c>
      <c r="E133" s="25" t="s">
        <v>29</v>
      </c>
      <c r="F133" s="25">
        <v>10</v>
      </c>
      <c r="G133" s="29">
        <v>821.14</v>
      </c>
      <c r="H133" s="27">
        <v>0</v>
      </c>
      <c r="I133" s="29">
        <v>8211.39</v>
      </c>
      <c r="J133" s="29">
        <v>6044.56</v>
      </c>
      <c r="K133" s="29">
        <v>2166.8200000000002</v>
      </c>
      <c r="L133" s="27">
        <f>(Table2[[#This Row],[Profit]]/Table2[[#This Row],[Revenue]])</f>
        <v>0.26387980597682004</v>
      </c>
    </row>
    <row r="134" spans="1:12" x14ac:dyDescent="0.3">
      <c r="A134" s="25" t="s">
        <v>158</v>
      </c>
      <c r="B134" s="26">
        <v>45754</v>
      </c>
      <c r="C134" s="25" t="s">
        <v>16</v>
      </c>
      <c r="D134" s="25" t="s">
        <v>13</v>
      </c>
      <c r="E134" s="25" t="s">
        <v>34</v>
      </c>
      <c r="F134" s="25">
        <v>7</v>
      </c>
      <c r="G134" s="29">
        <v>290.75</v>
      </c>
      <c r="H134" s="27">
        <v>0.2</v>
      </c>
      <c r="I134" s="29">
        <v>1628.18</v>
      </c>
      <c r="J134" s="29">
        <v>908.79</v>
      </c>
      <c r="K134" s="29">
        <v>719.38</v>
      </c>
      <c r="L134" s="27">
        <f>(Table2[[#This Row],[Profit]]/Table2[[#This Row],[Revenue]])</f>
        <v>0.44183075581323933</v>
      </c>
    </row>
    <row r="135" spans="1:12" x14ac:dyDescent="0.3">
      <c r="A135" s="25" t="s">
        <v>159</v>
      </c>
      <c r="B135" s="26">
        <v>46011</v>
      </c>
      <c r="C135" s="25" t="s">
        <v>28</v>
      </c>
      <c r="D135" s="25" t="s">
        <v>17</v>
      </c>
      <c r="E135" s="25" t="s">
        <v>29</v>
      </c>
      <c r="F135" s="25">
        <v>1</v>
      </c>
      <c r="G135" s="29">
        <v>209.69</v>
      </c>
      <c r="H135" s="27">
        <v>0.05</v>
      </c>
      <c r="I135" s="29">
        <v>199.21</v>
      </c>
      <c r="J135" s="29">
        <v>145.54</v>
      </c>
      <c r="K135" s="29">
        <v>53.67</v>
      </c>
      <c r="L135" s="27">
        <f>(Table2[[#This Row],[Profit]]/Table2[[#This Row],[Revenue]])</f>
        <v>0.26941418603483763</v>
      </c>
    </row>
    <row r="136" spans="1:12" x14ac:dyDescent="0.3">
      <c r="A136" s="25" t="s">
        <v>160</v>
      </c>
      <c r="B136" s="26">
        <v>45972</v>
      </c>
      <c r="C136" s="25" t="s">
        <v>12</v>
      </c>
      <c r="D136" s="25" t="s">
        <v>33</v>
      </c>
      <c r="E136" s="25" t="s">
        <v>34</v>
      </c>
      <c r="F136" s="25">
        <v>11</v>
      </c>
      <c r="G136" s="29">
        <v>190.55</v>
      </c>
      <c r="H136" s="27">
        <v>0.1</v>
      </c>
      <c r="I136" s="29">
        <v>1886.41</v>
      </c>
      <c r="J136" s="29">
        <v>1005.51</v>
      </c>
      <c r="K136" s="29">
        <v>880.9</v>
      </c>
      <c r="L136" s="27">
        <f>(Table2[[#This Row],[Profit]]/Table2[[#This Row],[Revenue]])</f>
        <v>0.46697165515449979</v>
      </c>
    </row>
    <row r="137" spans="1:12" x14ac:dyDescent="0.3">
      <c r="A137" s="25" t="s">
        <v>161</v>
      </c>
      <c r="B137" s="26">
        <v>45978</v>
      </c>
      <c r="C137" s="25" t="s">
        <v>16</v>
      </c>
      <c r="D137" s="25" t="s">
        <v>33</v>
      </c>
      <c r="E137" s="25" t="s">
        <v>24</v>
      </c>
      <c r="F137" s="25">
        <v>10</v>
      </c>
      <c r="G137" s="29">
        <v>814.22</v>
      </c>
      <c r="H137" s="27">
        <v>0.05</v>
      </c>
      <c r="I137" s="29">
        <v>7735.05</v>
      </c>
      <c r="J137" s="29">
        <v>5332.96</v>
      </c>
      <c r="K137" s="29">
        <v>2402.09</v>
      </c>
      <c r="L137" s="27">
        <f>(Table2[[#This Row],[Profit]]/Table2[[#This Row],[Revenue]])</f>
        <v>0.31054615031577043</v>
      </c>
    </row>
    <row r="138" spans="1:12" x14ac:dyDescent="0.3">
      <c r="A138" s="25" t="s">
        <v>162</v>
      </c>
      <c r="B138" s="26">
        <v>45790</v>
      </c>
      <c r="C138" s="25" t="s">
        <v>12</v>
      </c>
      <c r="D138" s="25" t="s">
        <v>17</v>
      </c>
      <c r="E138" s="25" t="s">
        <v>14</v>
      </c>
      <c r="F138" s="25">
        <v>1</v>
      </c>
      <c r="G138" s="29">
        <v>213.88</v>
      </c>
      <c r="H138" s="27">
        <v>0.05</v>
      </c>
      <c r="I138" s="29">
        <v>203.18</v>
      </c>
      <c r="J138" s="29">
        <v>161.4</v>
      </c>
      <c r="K138" s="29">
        <v>41.78</v>
      </c>
      <c r="L138" s="27">
        <f>(Table2[[#This Row],[Profit]]/Table2[[#This Row],[Revenue]])</f>
        <v>0.20563047544049612</v>
      </c>
    </row>
    <row r="139" spans="1:12" x14ac:dyDescent="0.3">
      <c r="A139" s="25" t="s">
        <v>163</v>
      </c>
      <c r="B139" s="26">
        <v>46011</v>
      </c>
      <c r="C139" s="25" t="s">
        <v>21</v>
      </c>
      <c r="D139" s="25" t="s">
        <v>33</v>
      </c>
      <c r="E139" s="25" t="s">
        <v>18</v>
      </c>
      <c r="F139" s="25">
        <v>6</v>
      </c>
      <c r="G139" s="29">
        <v>662.95</v>
      </c>
      <c r="H139" s="27">
        <v>0.15</v>
      </c>
      <c r="I139" s="29">
        <v>3381.04</v>
      </c>
      <c r="J139" s="29">
        <v>2053.12</v>
      </c>
      <c r="K139" s="29">
        <v>1327.92</v>
      </c>
      <c r="L139" s="27">
        <f>(Table2[[#This Row],[Profit]]/Table2[[#This Row],[Revenue]])</f>
        <v>0.39275489198589786</v>
      </c>
    </row>
    <row r="140" spans="1:12" x14ac:dyDescent="0.3">
      <c r="A140" s="25" t="s">
        <v>164</v>
      </c>
      <c r="B140" s="26">
        <v>45725</v>
      </c>
      <c r="C140" s="25" t="s">
        <v>16</v>
      </c>
      <c r="D140" s="25" t="s">
        <v>17</v>
      </c>
      <c r="E140" s="25" t="s">
        <v>24</v>
      </c>
      <c r="F140" s="25">
        <v>1</v>
      </c>
      <c r="G140" s="29">
        <v>500.7</v>
      </c>
      <c r="H140" s="27">
        <v>0</v>
      </c>
      <c r="I140" s="29">
        <v>500.7</v>
      </c>
      <c r="J140" s="29">
        <v>246.71</v>
      </c>
      <c r="K140" s="29">
        <v>254</v>
      </c>
      <c r="L140" s="27">
        <f>(Table2[[#This Row],[Profit]]/Table2[[#This Row],[Revenue]])</f>
        <v>0.50728979428799681</v>
      </c>
    </row>
    <row r="141" spans="1:12" x14ac:dyDescent="0.3">
      <c r="A141" s="25" t="s">
        <v>165</v>
      </c>
      <c r="B141" s="26">
        <v>46015</v>
      </c>
      <c r="C141" s="25" t="s">
        <v>16</v>
      </c>
      <c r="D141" s="25" t="s">
        <v>33</v>
      </c>
      <c r="E141" s="25" t="s">
        <v>24</v>
      </c>
      <c r="F141" s="25">
        <v>6</v>
      </c>
      <c r="G141" s="29">
        <v>421.32</v>
      </c>
      <c r="H141" s="27">
        <v>0.05</v>
      </c>
      <c r="I141" s="29">
        <v>2401.5</v>
      </c>
      <c r="J141" s="29">
        <v>1343.85</v>
      </c>
      <c r="K141" s="29">
        <v>1057.6600000000001</v>
      </c>
      <c r="L141" s="27">
        <f>(Table2[[#This Row],[Profit]]/Table2[[#This Row],[Revenue]])</f>
        <v>0.44041640641265878</v>
      </c>
    </row>
    <row r="142" spans="1:12" x14ac:dyDescent="0.3">
      <c r="A142" s="25" t="s">
        <v>166</v>
      </c>
      <c r="B142" s="26">
        <v>45767</v>
      </c>
      <c r="C142" s="25" t="s">
        <v>28</v>
      </c>
      <c r="D142" s="25" t="s">
        <v>33</v>
      </c>
      <c r="E142" s="25" t="s">
        <v>34</v>
      </c>
      <c r="F142" s="25">
        <v>9</v>
      </c>
      <c r="G142" s="29">
        <v>174.91</v>
      </c>
      <c r="H142" s="27">
        <v>0.05</v>
      </c>
      <c r="I142" s="29">
        <v>1495.49</v>
      </c>
      <c r="J142" s="29">
        <v>1010.1</v>
      </c>
      <c r="K142" s="29">
        <v>485.39</v>
      </c>
      <c r="L142" s="27">
        <f>(Table2[[#This Row],[Profit]]/Table2[[#This Row],[Revenue]])</f>
        <v>0.32456920474225837</v>
      </c>
    </row>
    <row r="143" spans="1:12" x14ac:dyDescent="0.3">
      <c r="A143" s="25" t="s">
        <v>167</v>
      </c>
      <c r="B143" s="26">
        <v>45960</v>
      </c>
      <c r="C143" s="25" t="s">
        <v>16</v>
      </c>
      <c r="D143" s="25" t="s">
        <v>13</v>
      </c>
      <c r="E143" s="25" t="s">
        <v>29</v>
      </c>
      <c r="F143" s="25">
        <v>8</v>
      </c>
      <c r="G143" s="29">
        <v>645.09</v>
      </c>
      <c r="H143" s="27">
        <v>0.05</v>
      </c>
      <c r="I143" s="29">
        <v>4902.6499999999996</v>
      </c>
      <c r="J143" s="29">
        <v>3831.45</v>
      </c>
      <c r="K143" s="29">
        <v>1071.2</v>
      </c>
      <c r="L143" s="27">
        <f>(Table2[[#This Row],[Profit]]/Table2[[#This Row],[Revenue]])</f>
        <v>0.21849407973238966</v>
      </c>
    </row>
    <row r="144" spans="1:12" x14ac:dyDescent="0.3">
      <c r="A144" s="25" t="s">
        <v>168</v>
      </c>
      <c r="B144" s="26">
        <v>45985</v>
      </c>
      <c r="C144" s="25" t="s">
        <v>16</v>
      </c>
      <c r="D144" s="25" t="s">
        <v>17</v>
      </c>
      <c r="E144" s="25" t="s">
        <v>26</v>
      </c>
      <c r="F144" s="25">
        <v>1</v>
      </c>
      <c r="G144" s="29">
        <v>569.79</v>
      </c>
      <c r="H144" s="27">
        <v>0.15</v>
      </c>
      <c r="I144" s="29">
        <v>484.32</v>
      </c>
      <c r="J144" s="29">
        <v>312.64</v>
      </c>
      <c r="K144" s="29">
        <v>171.68</v>
      </c>
      <c r="L144" s="27">
        <f>(Table2[[#This Row],[Profit]]/Table2[[#This Row],[Revenue]])</f>
        <v>0.35447637925338621</v>
      </c>
    </row>
    <row r="145" spans="1:12" x14ac:dyDescent="0.3">
      <c r="A145" s="25" t="s">
        <v>169</v>
      </c>
      <c r="B145" s="26">
        <v>46011</v>
      </c>
      <c r="C145" s="25" t="s">
        <v>16</v>
      </c>
      <c r="D145" s="25" t="s">
        <v>13</v>
      </c>
      <c r="E145" s="25" t="s">
        <v>24</v>
      </c>
      <c r="F145" s="25">
        <v>11</v>
      </c>
      <c r="G145" s="29">
        <v>416.29</v>
      </c>
      <c r="H145" s="27">
        <v>0.05</v>
      </c>
      <c r="I145" s="29">
        <v>4350.26</v>
      </c>
      <c r="J145" s="29">
        <v>3189.93</v>
      </c>
      <c r="K145" s="29">
        <v>1160.32</v>
      </c>
      <c r="L145" s="27">
        <f>(Table2[[#This Row],[Profit]]/Table2[[#This Row],[Revenue]])</f>
        <v>0.26672428774372103</v>
      </c>
    </row>
    <row r="146" spans="1:12" x14ac:dyDescent="0.3">
      <c r="A146" s="25" t="s">
        <v>170</v>
      </c>
      <c r="B146" s="26">
        <v>45911</v>
      </c>
      <c r="C146" s="25" t="s">
        <v>21</v>
      </c>
      <c r="D146" s="25" t="s">
        <v>17</v>
      </c>
      <c r="E146" s="25" t="s">
        <v>34</v>
      </c>
      <c r="F146" s="25">
        <v>9</v>
      </c>
      <c r="G146" s="29">
        <v>543.04</v>
      </c>
      <c r="H146" s="27">
        <v>0.05</v>
      </c>
      <c r="I146" s="29">
        <v>4642.99</v>
      </c>
      <c r="J146" s="29">
        <v>3580.48</v>
      </c>
      <c r="K146" s="29">
        <v>1062.52</v>
      </c>
      <c r="L146" s="27">
        <f>(Table2[[#This Row],[Profit]]/Table2[[#This Row],[Revenue]])</f>
        <v>0.22884391308187182</v>
      </c>
    </row>
    <row r="147" spans="1:12" x14ac:dyDescent="0.3">
      <c r="A147" s="25" t="s">
        <v>171</v>
      </c>
      <c r="B147" s="26">
        <v>45677</v>
      </c>
      <c r="C147" s="25" t="s">
        <v>21</v>
      </c>
      <c r="D147" s="25" t="s">
        <v>13</v>
      </c>
      <c r="E147" s="25" t="s">
        <v>34</v>
      </c>
      <c r="F147" s="25">
        <v>7</v>
      </c>
      <c r="G147" s="29">
        <v>327.57</v>
      </c>
      <c r="H147" s="27">
        <v>0.1</v>
      </c>
      <c r="I147" s="29">
        <v>2063.7199999999998</v>
      </c>
      <c r="J147" s="29">
        <v>1194.76</v>
      </c>
      <c r="K147" s="29">
        <v>868.96</v>
      </c>
      <c r="L147" s="27">
        <f>(Table2[[#This Row],[Profit]]/Table2[[#This Row],[Revenue]])</f>
        <v>0.42106487314170532</v>
      </c>
    </row>
    <row r="148" spans="1:12" x14ac:dyDescent="0.3">
      <c r="A148" s="25" t="s">
        <v>172</v>
      </c>
      <c r="B148" s="26">
        <v>45941</v>
      </c>
      <c r="C148" s="25" t="s">
        <v>21</v>
      </c>
      <c r="D148" s="25" t="s">
        <v>33</v>
      </c>
      <c r="E148" s="25" t="s">
        <v>18</v>
      </c>
      <c r="F148" s="25">
        <v>6</v>
      </c>
      <c r="G148" s="29">
        <v>699.96</v>
      </c>
      <c r="H148" s="27">
        <v>0.15</v>
      </c>
      <c r="I148" s="29">
        <v>3569.8</v>
      </c>
      <c r="J148" s="29">
        <v>2005.43</v>
      </c>
      <c r="K148" s="29">
        <v>1564.37</v>
      </c>
      <c r="L148" s="27">
        <f>(Table2[[#This Row],[Profit]]/Table2[[#This Row],[Revenue]])</f>
        <v>0.43822342988402707</v>
      </c>
    </row>
    <row r="149" spans="1:12" x14ac:dyDescent="0.3">
      <c r="A149" s="25" t="s">
        <v>173</v>
      </c>
      <c r="B149" s="26">
        <v>45922</v>
      </c>
      <c r="C149" s="25" t="s">
        <v>21</v>
      </c>
      <c r="D149" s="25" t="s">
        <v>13</v>
      </c>
      <c r="E149" s="25" t="s">
        <v>26</v>
      </c>
      <c r="F149" s="25">
        <v>4</v>
      </c>
      <c r="G149" s="29">
        <v>66.569999999999993</v>
      </c>
      <c r="H149" s="27">
        <v>0.1</v>
      </c>
      <c r="I149" s="29">
        <v>239.66</v>
      </c>
      <c r="J149" s="29">
        <v>176.15</v>
      </c>
      <c r="K149" s="29">
        <v>63.51</v>
      </c>
      <c r="L149" s="27">
        <f>(Table2[[#This Row],[Profit]]/Table2[[#This Row],[Revenue]])</f>
        <v>0.26500041725778184</v>
      </c>
    </row>
    <row r="150" spans="1:12" x14ac:dyDescent="0.3">
      <c r="A150" s="25" t="s">
        <v>174</v>
      </c>
      <c r="B150" s="26">
        <v>45918</v>
      </c>
      <c r="C150" s="25" t="s">
        <v>21</v>
      </c>
      <c r="D150" s="25" t="s">
        <v>17</v>
      </c>
      <c r="E150" s="25" t="s">
        <v>31</v>
      </c>
      <c r="F150" s="25">
        <v>8</v>
      </c>
      <c r="G150" s="29">
        <v>180.25</v>
      </c>
      <c r="H150" s="27">
        <v>0</v>
      </c>
      <c r="I150" s="29">
        <v>1442.01</v>
      </c>
      <c r="J150" s="29">
        <v>948.06</v>
      </c>
      <c r="K150" s="29">
        <v>493.95</v>
      </c>
      <c r="L150" s="27">
        <f>(Table2[[#This Row],[Profit]]/Table2[[#This Row],[Revenue]])</f>
        <v>0.3425427008134479</v>
      </c>
    </row>
    <row r="151" spans="1:12" x14ac:dyDescent="0.3">
      <c r="A151" s="25" t="s">
        <v>175</v>
      </c>
      <c r="B151" s="26">
        <v>45870</v>
      </c>
      <c r="C151" s="25" t="s">
        <v>16</v>
      </c>
      <c r="D151" s="25" t="s">
        <v>13</v>
      </c>
      <c r="E151" s="25" t="s">
        <v>34</v>
      </c>
      <c r="F151" s="25">
        <v>6</v>
      </c>
      <c r="G151" s="29">
        <v>892.06</v>
      </c>
      <c r="H151" s="27">
        <v>0</v>
      </c>
      <c r="I151" s="29">
        <v>5352.39</v>
      </c>
      <c r="J151" s="29">
        <v>3241.47</v>
      </c>
      <c r="K151" s="29">
        <v>2110.92</v>
      </c>
      <c r="L151" s="27">
        <f>(Table2[[#This Row],[Profit]]/Table2[[#This Row],[Revenue]])</f>
        <v>0.39438830130091418</v>
      </c>
    </row>
    <row r="152" spans="1:12" x14ac:dyDescent="0.3">
      <c r="A152" s="25" t="s">
        <v>176</v>
      </c>
      <c r="B152" s="26">
        <v>45726</v>
      </c>
      <c r="C152" s="25" t="s">
        <v>16</v>
      </c>
      <c r="D152" s="25" t="s">
        <v>17</v>
      </c>
      <c r="E152" s="25" t="s">
        <v>22</v>
      </c>
      <c r="F152" s="25">
        <v>11</v>
      </c>
      <c r="G152" s="29">
        <v>412.43</v>
      </c>
      <c r="H152" s="27">
        <v>0.05</v>
      </c>
      <c r="I152" s="29">
        <v>4309.91</v>
      </c>
      <c r="J152" s="29">
        <v>2710.68</v>
      </c>
      <c r="K152" s="29">
        <v>1599.23</v>
      </c>
      <c r="L152" s="27">
        <f>(Table2[[#This Row],[Profit]]/Table2[[#This Row],[Revenue]])</f>
        <v>0.37105879241097844</v>
      </c>
    </row>
    <row r="153" spans="1:12" x14ac:dyDescent="0.3">
      <c r="A153" s="25" t="s">
        <v>177</v>
      </c>
      <c r="B153" s="26">
        <v>45777</v>
      </c>
      <c r="C153" s="25" t="s">
        <v>28</v>
      </c>
      <c r="D153" s="25" t="s">
        <v>13</v>
      </c>
      <c r="E153" s="25" t="s">
        <v>18</v>
      </c>
      <c r="F153" s="25">
        <v>1</v>
      </c>
      <c r="G153" s="29">
        <v>376.82</v>
      </c>
      <c r="H153" s="27">
        <v>0</v>
      </c>
      <c r="I153" s="29">
        <v>376.82</v>
      </c>
      <c r="J153" s="29">
        <v>232.32</v>
      </c>
      <c r="K153" s="29">
        <v>144.5</v>
      </c>
      <c r="L153" s="27">
        <f>(Table2[[#This Row],[Profit]]/Table2[[#This Row],[Revenue]])</f>
        <v>0.3834722148505918</v>
      </c>
    </row>
    <row r="154" spans="1:12" x14ac:dyDescent="0.3">
      <c r="A154" s="25" t="s">
        <v>178</v>
      </c>
      <c r="B154" s="26">
        <v>45971</v>
      </c>
      <c r="C154" s="25" t="s">
        <v>21</v>
      </c>
      <c r="D154" s="25" t="s">
        <v>13</v>
      </c>
      <c r="E154" s="25" t="s">
        <v>24</v>
      </c>
      <c r="F154" s="25">
        <v>8</v>
      </c>
      <c r="G154" s="29">
        <v>696.09</v>
      </c>
      <c r="H154" s="27">
        <v>0</v>
      </c>
      <c r="I154" s="29">
        <v>5568.75</v>
      </c>
      <c r="J154" s="29">
        <v>2581.2600000000002</v>
      </c>
      <c r="K154" s="29">
        <v>2987.49</v>
      </c>
      <c r="L154" s="27">
        <f>(Table2[[#This Row],[Profit]]/Table2[[#This Row],[Revenue]])</f>
        <v>0.53647407407407399</v>
      </c>
    </row>
    <row r="155" spans="1:12" x14ac:dyDescent="0.3">
      <c r="A155" s="25" t="s">
        <v>179</v>
      </c>
      <c r="B155" s="26">
        <v>45745</v>
      </c>
      <c r="C155" s="25" t="s">
        <v>12</v>
      </c>
      <c r="D155" s="25" t="s">
        <v>17</v>
      </c>
      <c r="E155" s="25" t="s">
        <v>31</v>
      </c>
      <c r="F155" s="25">
        <v>1</v>
      </c>
      <c r="G155" s="29">
        <v>581.6</v>
      </c>
      <c r="H155" s="27">
        <v>0.05</v>
      </c>
      <c r="I155" s="29">
        <v>552.52</v>
      </c>
      <c r="J155" s="29">
        <v>342.38</v>
      </c>
      <c r="K155" s="29">
        <v>210.15</v>
      </c>
      <c r="L155" s="27">
        <f>(Table2[[#This Row],[Profit]]/Table2[[#This Row],[Revenue]])</f>
        <v>0.38034822268877144</v>
      </c>
    </row>
    <row r="156" spans="1:12" x14ac:dyDescent="0.3">
      <c r="A156" s="25" t="s">
        <v>180</v>
      </c>
      <c r="B156" s="26">
        <v>45696</v>
      </c>
      <c r="C156" s="25" t="s">
        <v>12</v>
      </c>
      <c r="D156" s="25" t="s">
        <v>13</v>
      </c>
      <c r="E156" s="25" t="s">
        <v>22</v>
      </c>
      <c r="F156" s="25">
        <v>11</v>
      </c>
      <c r="G156" s="29">
        <v>164.01</v>
      </c>
      <c r="H156" s="27">
        <v>0.05</v>
      </c>
      <c r="I156" s="29">
        <v>1713.89</v>
      </c>
      <c r="J156" s="29">
        <v>876.82</v>
      </c>
      <c r="K156" s="29">
        <v>837.07</v>
      </c>
      <c r="L156" s="27">
        <f>(Table2[[#This Row],[Profit]]/Table2[[#This Row],[Revenue]])</f>
        <v>0.48840357315813732</v>
      </c>
    </row>
    <row r="157" spans="1:12" x14ac:dyDescent="0.3">
      <c r="A157" s="25" t="s">
        <v>181</v>
      </c>
      <c r="B157" s="26">
        <v>45834</v>
      </c>
      <c r="C157" s="25" t="s">
        <v>12</v>
      </c>
      <c r="D157" s="25" t="s">
        <v>17</v>
      </c>
      <c r="E157" s="25" t="s">
        <v>14</v>
      </c>
      <c r="F157" s="25">
        <v>4</v>
      </c>
      <c r="G157" s="29">
        <v>383.35</v>
      </c>
      <c r="H157" s="27">
        <v>0.2</v>
      </c>
      <c r="I157" s="29">
        <v>1226.71</v>
      </c>
      <c r="J157" s="29">
        <v>895.99</v>
      </c>
      <c r="K157" s="29">
        <v>330.73</v>
      </c>
      <c r="L157" s="27">
        <f>(Table2[[#This Row],[Profit]]/Table2[[#This Row],[Revenue]])</f>
        <v>0.26960732365432744</v>
      </c>
    </row>
    <row r="158" spans="1:12" x14ac:dyDescent="0.3">
      <c r="A158" s="25" t="s">
        <v>182</v>
      </c>
      <c r="B158" s="26">
        <v>45727</v>
      </c>
      <c r="C158" s="25" t="s">
        <v>16</v>
      </c>
      <c r="D158" s="25" t="s">
        <v>17</v>
      </c>
      <c r="E158" s="25" t="s">
        <v>26</v>
      </c>
      <c r="F158" s="25">
        <v>7</v>
      </c>
      <c r="G158" s="29">
        <v>380.68</v>
      </c>
      <c r="H158" s="27">
        <v>0.15</v>
      </c>
      <c r="I158" s="29">
        <v>2265.02</v>
      </c>
      <c r="J158" s="29">
        <v>1168.3900000000001</v>
      </c>
      <c r="K158" s="29">
        <v>1096.6300000000001</v>
      </c>
      <c r="L158" s="27">
        <f>(Table2[[#This Row],[Profit]]/Table2[[#This Row],[Revenue]])</f>
        <v>0.4841590802730219</v>
      </c>
    </row>
    <row r="159" spans="1:12" x14ac:dyDescent="0.3">
      <c r="A159" s="25" t="s">
        <v>183</v>
      </c>
      <c r="B159" s="26">
        <v>45840</v>
      </c>
      <c r="C159" s="25" t="s">
        <v>12</v>
      </c>
      <c r="D159" s="25" t="s">
        <v>17</v>
      </c>
      <c r="E159" s="25" t="s">
        <v>31</v>
      </c>
      <c r="F159" s="25">
        <v>11</v>
      </c>
      <c r="G159" s="29">
        <v>426.18</v>
      </c>
      <c r="H159" s="27">
        <v>0.1</v>
      </c>
      <c r="I159" s="29">
        <v>4219.2</v>
      </c>
      <c r="J159" s="29">
        <v>3024.73</v>
      </c>
      <c r="K159" s="29">
        <v>1194.47</v>
      </c>
      <c r="L159" s="27">
        <f>(Table2[[#This Row],[Profit]]/Table2[[#This Row],[Revenue]])</f>
        <v>0.28310343193022375</v>
      </c>
    </row>
    <row r="160" spans="1:12" x14ac:dyDescent="0.3">
      <c r="A160" s="25" t="s">
        <v>184</v>
      </c>
      <c r="B160" s="26">
        <v>45913</v>
      </c>
      <c r="C160" s="25" t="s">
        <v>21</v>
      </c>
      <c r="D160" s="25" t="s">
        <v>13</v>
      </c>
      <c r="E160" s="25" t="s">
        <v>22</v>
      </c>
      <c r="F160" s="25">
        <v>7</v>
      </c>
      <c r="G160" s="29">
        <v>698.92</v>
      </c>
      <c r="H160" s="27">
        <v>0</v>
      </c>
      <c r="I160" s="29">
        <v>4892.43</v>
      </c>
      <c r="J160" s="29">
        <v>3130.59</v>
      </c>
      <c r="K160" s="29">
        <v>1761.85</v>
      </c>
      <c r="L160" s="27">
        <f>(Table2[[#This Row],[Profit]]/Table2[[#This Row],[Revenue]])</f>
        <v>0.36011756938780931</v>
      </c>
    </row>
    <row r="161" spans="1:12" x14ac:dyDescent="0.3">
      <c r="A161" s="25" t="s">
        <v>185</v>
      </c>
      <c r="B161" s="26">
        <v>45817</v>
      </c>
      <c r="C161" s="25" t="s">
        <v>12</v>
      </c>
      <c r="D161" s="25" t="s">
        <v>13</v>
      </c>
      <c r="E161" s="25" t="s">
        <v>24</v>
      </c>
      <c r="F161" s="25">
        <v>5</v>
      </c>
      <c r="G161" s="29">
        <v>811.38</v>
      </c>
      <c r="H161" s="27">
        <v>0</v>
      </c>
      <c r="I161" s="29">
        <v>4056.9</v>
      </c>
      <c r="J161" s="29">
        <v>3054.54</v>
      </c>
      <c r="K161" s="29">
        <v>1002.37</v>
      </c>
      <c r="L161" s="27">
        <f>(Table2[[#This Row],[Profit]]/Table2[[#This Row],[Revenue]])</f>
        <v>0.2470778180384037</v>
      </c>
    </row>
    <row r="162" spans="1:12" x14ac:dyDescent="0.3">
      <c r="A162" s="25" t="s">
        <v>186</v>
      </c>
      <c r="B162" s="26">
        <v>45835</v>
      </c>
      <c r="C162" s="25" t="s">
        <v>28</v>
      </c>
      <c r="D162" s="25" t="s">
        <v>13</v>
      </c>
      <c r="E162" s="25" t="s">
        <v>34</v>
      </c>
      <c r="F162" s="25">
        <v>5</v>
      </c>
      <c r="G162" s="29">
        <v>806.81</v>
      </c>
      <c r="H162" s="27">
        <v>0.2</v>
      </c>
      <c r="I162" s="29">
        <v>3227.25</v>
      </c>
      <c r="J162" s="29">
        <v>1567.2</v>
      </c>
      <c r="K162" s="29">
        <v>1660.05</v>
      </c>
      <c r="L162" s="27">
        <f>(Table2[[#This Row],[Profit]]/Table2[[#This Row],[Revenue]])</f>
        <v>0.51438531257262377</v>
      </c>
    </row>
    <row r="163" spans="1:12" x14ac:dyDescent="0.3">
      <c r="A163" s="25" t="s">
        <v>187</v>
      </c>
      <c r="B163" s="26">
        <v>46006</v>
      </c>
      <c r="C163" s="25" t="s">
        <v>12</v>
      </c>
      <c r="D163" s="25" t="s">
        <v>17</v>
      </c>
      <c r="E163" s="25" t="s">
        <v>14</v>
      </c>
      <c r="F163" s="25">
        <v>11</v>
      </c>
      <c r="G163" s="29">
        <v>85.83</v>
      </c>
      <c r="H163" s="27">
        <v>0.1</v>
      </c>
      <c r="I163" s="29">
        <v>849.7</v>
      </c>
      <c r="J163" s="29">
        <v>480.1</v>
      </c>
      <c r="K163" s="29">
        <v>369.59</v>
      </c>
      <c r="L163" s="27">
        <f>(Table2[[#This Row],[Profit]]/Table2[[#This Row],[Revenue]])</f>
        <v>0.43496528186418731</v>
      </c>
    </row>
    <row r="164" spans="1:12" x14ac:dyDescent="0.3">
      <c r="A164" s="25" t="s">
        <v>188</v>
      </c>
      <c r="B164" s="26">
        <v>45960</v>
      </c>
      <c r="C164" s="25" t="s">
        <v>16</v>
      </c>
      <c r="D164" s="25" t="s">
        <v>33</v>
      </c>
      <c r="E164" s="25" t="s">
        <v>31</v>
      </c>
      <c r="F164" s="25">
        <v>9</v>
      </c>
      <c r="G164" s="29">
        <v>291.16000000000003</v>
      </c>
      <c r="H164" s="27">
        <v>0.1</v>
      </c>
      <c r="I164" s="29">
        <v>2358.4</v>
      </c>
      <c r="J164" s="29">
        <v>1860.17</v>
      </c>
      <c r="K164" s="29">
        <v>498.22</v>
      </c>
      <c r="L164" s="27">
        <f>(Table2[[#This Row],[Profit]]/Table2[[#This Row],[Revenue]])</f>
        <v>0.21125339213025782</v>
      </c>
    </row>
    <row r="165" spans="1:12" x14ac:dyDescent="0.3">
      <c r="A165" s="25" t="s">
        <v>189</v>
      </c>
      <c r="B165" s="26">
        <v>45842</v>
      </c>
      <c r="C165" s="25" t="s">
        <v>28</v>
      </c>
      <c r="D165" s="25" t="s">
        <v>17</v>
      </c>
      <c r="E165" s="25" t="s">
        <v>31</v>
      </c>
      <c r="F165" s="25">
        <v>4</v>
      </c>
      <c r="G165" s="29">
        <v>89.15</v>
      </c>
      <c r="H165" s="27">
        <v>0.05</v>
      </c>
      <c r="I165" s="29">
        <v>338.77</v>
      </c>
      <c r="J165" s="29">
        <v>197.71</v>
      </c>
      <c r="K165" s="29">
        <v>141.06</v>
      </c>
      <c r="L165" s="27">
        <f>(Table2[[#This Row],[Profit]]/Table2[[#This Row],[Revenue]])</f>
        <v>0.4163887002981374</v>
      </c>
    </row>
    <row r="166" spans="1:12" x14ac:dyDescent="0.3">
      <c r="A166" s="25" t="s">
        <v>190</v>
      </c>
      <c r="B166" s="26">
        <v>46022</v>
      </c>
      <c r="C166" s="25" t="s">
        <v>12</v>
      </c>
      <c r="D166" s="25" t="s">
        <v>13</v>
      </c>
      <c r="E166" s="25" t="s">
        <v>18</v>
      </c>
      <c r="F166" s="25">
        <v>11</v>
      </c>
      <c r="G166" s="29">
        <v>126.58</v>
      </c>
      <c r="H166" s="27">
        <v>0.1</v>
      </c>
      <c r="I166" s="29">
        <v>1253.17</v>
      </c>
      <c r="J166" s="29">
        <v>809.75</v>
      </c>
      <c r="K166" s="29">
        <v>443.41</v>
      </c>
      <c r="L166" s="27">
        <f>(Table2[[#This Row],[Profit]]/Table2[[#This Row],[Revenue]])</f>
        <v>0.35383068538187157</v>
      </c>
    </row>
    <row r="167" spans="1:12" x14ac:dyDescent="0.3">
      <c r="A167" s="25" t="s">
        <v>191</v>
      </c>
      <c r="B167" s="26">
        <v>45886</v>
      </c>
      <c r="C167" s="25" t="s">
        <v>21</v>
      </c>
      <c r="D167" s="25" t="s">
        <v>17</v>
      </c>
      <c r="E167" s="25" t="s">
        <v>22</v>
      </c>
      <c r="F167" s="25">
        <v>2</v>
      </c>
      <c r="G167" s="29">
        <v>468.68</v>
      </c>
      <c r="H167" s="27">
        <v>0</v>
      </c>
      <c r="I167" s="29">
        <v>937.36</v>
      </c>
      <c r="J167" s="29">
        <v>678.6</v>
      </c>
      <c r="K167" s="29">
        <v>258.76</v>
      </c>
      <c r="L167" s="27">
        <f>(Table2[[#This Row],[Profit]]/Table2[[#This Row],[Revenue]])</f>
        <v>0.27605189041563538</v>
      </c>
    </row>
    <row r="168" spans="1:12" x14ac:dyDescent="0.3">
      <c r="A168" s="25" t="s">
        <v>192</v>
      </c>
      <c r="B168" s="26">
        <v>45723</v>
      </c>
      <c r="C168" s="25" t="s">
        <v>28</v>
      </c>
      <c r="D168" s="25" t="s">
        <v>13</v>
      </c>
      <c r="E168" s="25" t="s">
        <v>26</v>
      </c>
      <c r="F168" s="25">
        <v>4</v>
      </c>
      <c r="G168" s="29">
        <v>237.48</v>
      </c>
      <c r="H168" s="27">
        <v>0.05</v>
      </c>
      <c r="I168" s="29">
        <v>902.42</v>
      </c>
      <c r="J168" s="29">
        <v>706.18</v>
      </c>
      <c r="K168" s="29">
        <v>196.24</v>
      </c>
      <c r="L168" s="27">
        <f>(Table2[[#This Row],[Profit]]/Table2[[#This Row],[Revenue]])</f>
        <v>0.21745971942111214</v>
      </c>
    </row>
    <row r="169" spans="1:12" x14ac:dyDescent="0.3">
      <c r="A169" s="25" t="s">
        <v>193</v>
      </c>
      <c r="B169" s="26">
        <v>45742</v>
      </c>
      <c r="C169" s="25" t="s">
        <v>28</v>
      </c>
      <c r="D169" s="25" t="s">
        <v>17</v>
      </c>
      <c r="E169" s="25" t="s">
        <v>18</v>
      </c>
      <c r="F169" s="25">
        <v>9</v>
      </c>
      <c r="G169" s="29">
        <v>523.66</v>
      </c>
      <c r="H169" s="27">
        <v>0</v>
      </c>
      <c r="I169" s="29">
        <v>4712.9799999999996</v>
      </c>
      <c r="J169" s="29">
        <v>3116.44</v>
      </c>
      <c r="K169" s="29">
        <v>1596.54</v>
      </c>
      <c r="L169" s="27">
        <f>(Table2[[#This Row],[Profit]]/Table2[[#This Row],[Revenue]])</f>
        <v>0.33875382454413133</v>
      </c>
    </row>
    <row r="170" spans="1:12" x14ac:dyDescent="0.3">
      <c r="A170" s="25" t="s">
        <v>194</v>
      </c>
      <c r="B170" s="26">
        <v>45684</v>
      </c>
      <c r="C170" s="25" t="s">
        <v>28</v>
      </c>
      <c r="D170" s="25" t="s">
        <v>13</v>
      </c>
      <c r="E170" s="25" t="s">
        <v>26</v>
      </c>
      <c r="F170" s="25">
        <v>8</v>
      </c>
      <c r="G170" s="29">
        <v>765.42</v>
      </c>
      <c r="H170" s="27">
        <v>0</v>
      </c>
      <c r="I170" s="29">
        <v>6123.37</v>
      </c>
      <c r="J170" s="29">
        <v>3031.49</v>
      </c>
      <c r="K170" s="29">
        <v>3091.88</v>
      </c>
      <c r="L170" s="27">
        <f>(Table2[[#This Row],[Profit]]/Table2[[#This Row],[Revenue]])</f>
        <v>0.50493110819695697</v>
      </c>
    </row>
    <row r="171" spans="1:12" x14ac:dyDescent="0.3">
      <c r="A171" s="25" t="s">
        <v>195</v>
      </c>
      <c r="B171" s="26">
        <v>45733</v>
      </c>
      <c r="C171" s="25" t="s">
        <v>21</v>
      </c>
      <c r="D171" s="25" t="s">
        <v>13</v>
      </c>
      <c r="E171" s="25" t="s">
        <v>26</v>
      </c>
      <c r="F171" s="25">
        <v>9</v>
      </c>
      <c r="G171" s="29">
        <v>619.25</v>
      </c>
      <c r="H171" s="27">
        <v>0</v>
      </c>
      <c r="I171" s="29">
        <v>5573.28</v>
      </c>
      <c r="J171" s="29">
        <v>2832.33</v>
      </c>
      <c r="K171" s="29">
        <v>2740.95</v>
      </c>
      <c r="L171" s="27">
        <f>(Table2[[#This Row],[Profit]]/Table2[[#This Row],[Revenue]])</f>
        <v>0.49180195504263197</v>
      </c>
    </row>
    <row r="172" spans="1:12" x14ac:dyDescent="0.3">
      <c r="A172" s="25" t="s">
        <v>196</v>
      </c>
      <c r="B172" s="26">
        <v>45821</v>
      </c>
      <c r="C172" s="25" t="s">
        <v>12</v>
      </c>
      <c r="D172" s="25" t="s">
        <v>17</v>
      </c>
      <c r="E172" s="25" t="s">
        <v>29</v>
      </c>
      <c r="F172" s="25">
        <v>10</v>
      </c>
      <c r="G172" s="29">
        <v>405.75</v>
      </c>
      <c r="H172" s="27">
        <v>0.05</v>
      </c>
      <c r="I172" s="29">
        <v>3854.59</v>
      </c>
      <c r="J172" s="29">
        <v>2471.4299999999998</v>
      </c>
      <c r="K172" s="29">
        <v>1383.16</v>
      </c>
      <c r="L172" s="27">
        <f>(Table2[[#This Row],[Profit]]/Table2[[#This Row],[Revenue]])</f>
        <v>0.35883453233677254</v>
      </c>
    </row>
    <row r="173" spans="1:12" x14ac:dyDescent="0.3">
      <c r="A173" s="25" t="s">
        <v>197</v>
      </c>
      <c r="B173" s="26">
        <v>45811</v>
      </c>
      <c r="C173" s="25" t="s">
        <v>21</v>
      </c>
      <c r="D173" s="25" t="s">
        <v>33</v>
      </c>
      <c r="E173" s="25" t="s">
        <v>18</v>
      </c>
      <c r="F173" s="25">
        <v>3</v>
      </c>
      <c r="G173" s="29">
        <v>282.38</v>
      </c>
      <c r="H173" s="27">
        <v>0.05</v>
      </c>
      <c r="I173" s="29">
        <v>804.79</v>
      </c>
      <c r="J173" s="29">
        <v>620.25</v>
      </c>
      <c r="K173" s="29">
        <v>184.54</v>
      </c>
      <c r="L173" s="27">
        <f>(Table2[[#This Row],[Profit]]/Table2[[#This Row],[Revenue]])</f>
        <v>0.22930205395196263</v>
      </c>
    </row>
    <row r="174" spans="1:12" x14ac:dyDescent="0.3">
      <c r="A174" s="25" t="s">
        <v>198</v>
      </c>
      <c r="B174" s="26">
        <v>45952</v>
      </c>
      <c r="C174" s="25" t="s">
        <v>21</v>
      </c>
      <c r="D174" s="25" t="s">
        <v>13</v>
      </c>
      <c r="E174" s="25" t="s">
        <v>29</v>
      </c>
      <c r="F174" s="25">
        <v>2</v>
      </c>
      <c r="G174" s="29">
        <v>35.69</v>
      </c>
      <c r="H174" s="27">
        <v>0.1</v>
      </c>
      <c r="I174" s="29">
        <v>64.239999999999995</v>
      </c>
      <c r="J174" s="29">
        <v>37.25</v>
      </c>
      <c r="K174" s="29">
        <v>26.99</v>
      </c>
      <c r="L174" s="27">
        <f>(Table2[[#This Row],[Profit]]/Table2[[#This Row],[Revenue]])</f>
        <v>0.42014321295143214</v>
      </c>
    </row>
    <row r="175" spans="1:12" x14ac:dyDescent="0.3">
      <c r="A175" s="25" t="s">
        <v>199</v>
      </c>
      <c r="B175" s="26">
        <v>45771</v>
      </c>
      <c r="C175" s="25" t="s">
        <v>21</v>
      </c>
      <c r="D175" s="25" t="s">
        <v>13</v>
      </c>
      <c r="E175" s="25" t="s">
        <v>22</v>
      </c>
      <c r="F175" s="25">
        <v>11</v>
      </c>
      <c r="G175" s="29">
        <v>687.25</v>
      </c>
      <c r="H175" s="27">
        <v>0.05</v>
      </c>
      <c r="I175" s="29">
        <v>7181.78</v>
      </c>
      <c r="J175" s="29">
        <v>3786.72</v>
      </c>
      <c r="K175" s="29">
        <v>3395.06</v>
      </c>
      <c r="L175" s="27">
        <f>(Table2[[#This Row],[Profit]]/Table2[[#This Row],[Revenue]])</f>
        <v>0.47273238667851147</v>
      </c>
    </row>
    <row r="176" spans="1:12" x14ac:dyDescent="0.3">
      <c r="A176" s="25" t="s">
        <v>200</v>
      </c>
      <c r="B176" s="26">
        <v>45977</v>
      </c>
      <c r="C176" s="25" t="s">
        <v>16</v>
      </c>
      <c r="D176" s="25" t="s">
        <v>17</v>
      </c>
      <c r="E176" s="25" t="s">
        <v>34</v>
      </c>
      <c r="F176" s="25">
        <v>2</v>
      </c>
      <c r="G176" s="29">
        <v>359.69</v>
      </c>
      <c r="H176" s="27">
        <v>0</v>
      </c>
      <c r="I176" s="29">
        <v>719.38</v>
      </c>
      <c r="J176" s="29">
        <v>481.22</v>
      </c>
      <c r="K176" s="29">
        <v>238.16</v>
      </c>
      <c r="L176" s="27">
        <f>(Table2[[#This Row],[Profit]]/Table2[[#This Row],[Revenue]])</f>
        <v>0.33106285968472854</v>
      </c>
    </row>
    <row r="177" spans="1:12" x14ac:dyDescent="0.3">
      <c r="A177" s="25" t="s">
        <v>201</v>
      </c>
      <c r="B177" s="26">
        <v>45928</v>
      </c>
      <c r="C177" s="25" t="s">
        <v>21</v>
      </c>
      <c r="D177" s="25" t="s">
        <v>33</v>
      </c>
      <c r="E177" s="25" t="s">
        <v>26</v>
      </c>
      <c r="F177" s="25">
        <v>5</v>
      </c>
      <c r="G177" s="29">
        <v>522.08000000000004</v>
      </c>
      <c r="H177" s="27">
        <v>0.1</v>
      </c>
      <c r="I177" s="29">
        <v>2349.38</v>
      </c>
      <c r="J177" s="29">
        <v>1515.96</v>
      </c>
      <c r="K177" s="29">
        <v>833.42</v>
      </c>
      <c r="L177" s="27">
        <f>(Table2[[#This Row],[Profit]]/Table2[[#This Row],[Revenue]])</f>
        <v>0.35474039959478665</v>
      </c>
    </row>
    <row r="178" spans="1:12" x14ac:dyDescent="0.3">
      <c r="A178" s="25" t="s">
        <v>202</v>
      </c>
      <c r="B178" s="26">
        <v>45794</v>
      </c>
      <c r="C178" s="25" t="s">
        <v>12</v>
      </c>
      <c r="D178" s="25" t="s">
        <v>13</v>
      </c>
      <c r="E178" s="25" t="s">
        <v>29</v>
      </c>
      <c r="F178" s="25">
        <v>6</v>
      </c>
      <c r="G178" s="29">
        <v>681.83</v>
      </c>
      <c r="H178" s="27">
        <v>0.05</v>
      </c>
      <c r="I178" s="29">
        <v>3886.44</v>
      </c>
      <c r="J178" s="29">
        <v>3069.25</v>
      </c>
      <c r="K178" s="29">
        <v>817.19</v>
      </c>
      <c r="L178" s="27">
        <f>(Table2[[#This Row],[Profit]]/Table2[[#This Row],[Revenue]])</f>
        <v>0.21026697954940771</v>
      </c>
    </row>
    <row r="179" spans="1:12" x14ac:dyDescent="0.3">
      <c r="A179" s="25" t="s">
        <v>203</v>
      </c>
      <c r="B179" s="26">
        <v>45682</v>
      </c>
      <c r="C179" s="25" t="s">
        <v>12</v>
      </c>
      <c r="D179" s="25" t="s">
        <v>33</v>
      </c>
      <c r="E179" s="25" t="s">
        <v>24</v>
      </c>
      <c r="F179" s="25">
        <v>10</v>
      </c>
      <c r="G179" s="29">
        <v>154.15</v>
      </c>
      <c r="H179" s="27">
        <v>0.05</v>
      </c>
      <c r="I179" s="29">
        <v>1464.39</v>
      </c>
      <c r="J179" s="29">
        <v>902.23</v>
      </c>
      <c r="K179" s="29">
        <v>562.16</v>
      </c>
      <c r="L179" s="27">
        <f>(Table2[[#This Row],[Profit]]/Table2[[#This Row],[Revenue]])</f>
        <v>0.38388680611039405</v>
      </c>
    </row>
    <row r="180" spans="1:12" x14ac:dyDescent="0.3">
      <c r="A180" s="25" t="s">
        <v>204</v>
      </c>
      <c r="B180" s="26">
        <v>45940</v>
      </c>
      <c r="C180" s="25" t="s">
        <v>16</v>
      </c>
      <c r="D180" s="25" t="s">
        <v>13</v>
      </c>
      <c r="E180" s="25" t="s">
        <v>29</v>
      </c>
      <c r="F180" s="25">
        <v>1</v>
      </c>
      <c r="G180" s="29">
        <v>339.3</v>
      </c>
      <c r="H180" s="27">
        <v>0.05</v>
      </c>
      <c r="I180" s="29">
        <v>322.33999999999997</v>
      </c>
      <c r="J180" s="29">
        <v>255.82</v>
      </c>
      <c r="K180" s="29">
        <v>66.52</v>
      </c>
      <c r="L180" s="27">
        <f>(Table2[[#This Row],[Profit]]/Table2[[#This Row],[Revenue]])</f>
        <v>0.20636594899795246</v>
      </c>
    </row>
    <row r="181" spans="1:12" x14ac:dyDescent="0.3">
      <c r="A181" s="25" t="s">
        <v>205</v>
      </c>
      <c r="B181" s="26">
        <v>45930</v>
      </c>
      <c r="C181" s="25" t="s">
        <v>28</v>
      </c>
      <c r="D181" s="25" t="s">
        <v>33</v>
      </c>
      <c r="E181" s="25" t="s">
        <v>24</v>
      </c>
      <c r="F181" s="25">
        <v>6</v>
      </c>
      <c r="G181" s="29">
        <v>148.66</v>
      </c>
      <c r="H181" s="27">
        <v>0.05</v>
      </c>
      <c r="I181" s="29">
        <v>847.38</v>
      </c>
      <c r="J181" s="29">
        <v>488.09</v>
      </c>
      <c r="K181" s="29">
        <v>359.29</v>
      </c>
      <c r="L181" s="27">
        <f>(Table2[[#This Row],[Profit]]/Table2[[#This Row],[Revenue]])</f>
        <v>0.42400103849512616</v>
      </c>
    </row>
    <row r="182" spans="1:12" x14ac:dyDescent="0.3">
      <c r="A182" s="25" t="s">
        <v>206</v>
      </c>
      <c r="B182" s="26">
        <v>45789</v>
      </c>
      <c r="C182" s="25" t="s">
        <v>28</v>
      </c>
      <c r="D182" s="25" t="s">
        <v>17</v>
      </c>
      <c r="E182" s="25" t="s">
        <v>34</v>
      </c>
      <c r="F182" s="25">
        <v>8</v>
      </c>
      <c r="G182" s="29">
        <v>246.37</v>
      </c>
      <c r="H182" s="27">
        <v>0.1</v>
      </c>
      <c r="I182" s="29">
        <v>1773.9</v>
      </c>
      <c r="J182" s="29">
        <v>1037.77</v>
      </c>
      <c r="K182" s="29">
        <v>736.13</v>
      </c>
      <c r="L182" s="27">
        <f>(Table2[[#This Row],[Profit]]/Table2[[#This Row],[Revenue]])</f>
        <v>0.41497829640904221</v>
      </c>
    </row>
    <row r="183" spans="1:12" x14ac:dyDescent="0.3">
      <c r="A183" s="25" t="s">
        <v>207</v>
      </c>
      <c r="B183" s="26">
        <v>45916</v>
      </c>
      <c r="C183" s="25" t="s">
        <v>16</v>
      </c>
      <c r="D183" s="25" t="s">
        <v>17</v>
      </c>
      <c r="E183" s="25" t="s">
        <v>29</v>
      </c>
      <c r="F183" s="25">
        <v>11</v>
      </c>
      <c r="G183" s="29">
        <v>343.68</v>
      </c>
      <c r="H183" s="27">
        <v>0</v>
      </c>
      <c r="I183" s="29">
        <v>3780.5</v>
      </c>
      <c r="J183" s="29">
        <v>2724.6</v>
      </c>
      <c r="K183" s="29">
        <v>1055.9000000000001</v>
      </c>
      <c r="L183" s="27">
        <f>(Table2[[#This Row],[Profit]]/Table2[[#This Row],[Revenue]])</f>
        <v>0.27930167967200109</v>
      </c>
    </row>
    <row r="184" spans="1:12" x14ac:dyDescent="0.3">
      <c r="A184" s="25" t="s">
        <v>208</v>
      </c>
      <c r="B184" s="26">
        <v>45873</v>
      </c>
      <c r="C184" s="25" t="s">
        <v>28</v>
      </c>
      <c r="D184" s="25" t="s">
        <v>33</v>
      </c>
      <c r="E184" s="25" t="s">
        <v>31</v>
      </c>
      <c r="F184" s="25">
        <v>1</v>
      </c>
      <c r="G184" s="29">
        <v>333.29</v>
      </c>
      <c r="H184" s="27">
        <v>0</v>
      </c>
      <c r="I184" s="29">
        <v>333.29</v>
      </c>
      <c r="J184" s="29">
        <v>225.83</v>
      </c>
      <c r="K184" s="29">
        <v>107.47</v>
      </c>
      <c r="L184" s="27">
        <f>(Table2[[#This Row],[Profit]]/Table2[[#This Row],[Revenue]])</f>
        <v>0.32245191874943741</v>
      </c>
    </row>
    <row r="185" spans="1:12" x14ac:dyDescent="0.3">
      <c r="A185" s="25" t="s">
        <v>209</v>
      </c>
      <c r="B185" s="26">
        <v>45699</v>
      </c>
      <c r="C185" s="25" t="s">
        <v>12</v>
      </c>
      <c r="D185" s="25" t="s">
        <v>33</v>
      </c>
      <c r="E185" s="25" t="s">
        <v>29</v>
      </c>
      <c r="F185" s="25">
        <v>2</v>
      </c>
      <c r="G185" s="29">
        <v>318.63</v>
      </c>
      <c r="H185" s="27">
        <v>0</v>
      </c>
      <c r="I185" s="29">
        <v>637.26</v>
      </c>
      <c r="J185" s="29">
        <v>301.24</v>
      </c>
      <c r="K185" s="29">
        <v>336.02</v>
      </c>
      <c r="L185" s="27">
        <f>(Table2[[#This Row],[Profit]]/Table2[[#This Row],[Revenue]])</f>
        <v>0.52728870476728495</v>
      </c>
    </row>
    <row r="186" spans="1:12" x14ac:dyDescent="0.3">
      <c r="A186" s="25" t="s">
        <v>210</v>
      </c>
      <c r="B186" s="26">
        <v>46013</v>
      </c>
      <c r="C186" s="25" t="s">
        <v>16</v>
      </c>
      <c r="D186" s="25" t="s">
        <v>13</v>
      </c>
      <c r="E186" s="25" t="s">
        <v>31</v>
      </c>
      <c r="F186" s="25">
        <v>4</v>
      </c>
      <c r="G186" s="29">
        <v>125.32</v>
      </c>
      <c r="H186" s="27">
        <v>0</v>
      </c>
      <c r="I186" s="29">
        <v>501.26</v>
      </c>
      <c r="J186" s="29">
        <v>358.51</v>
      </c>
      <c r="K186" s="29">
        <v>142.75</v>
      </c>
      <c r="L186" s="27">
        <f>(Table2[[#This Row],[Profit]]/Table2[[#This Row],[Revenue]])</f>
        <v>0.28478234848182582</v>
      </c>
    </row>
    <row r="187" spans="1:12" x14ac:dyDescent="0.3">
      <c r="A187" s="25" t="s">
        <v>211</v>
      </c>
      <c r="B187" s="26">
        <v>45724</v>
      </c>
      <c r="C187" s="25" t="s">
        <v>12</v>
      </c>
      <c r="D187" s="25" t="s">
        <v>17</v>
      </c>
      <c r="E187" s="25" t="s">
        <v>22</v>
      </c>
      <c r="F187" s="25">
        <v>5</v>
      </c>
      <c r="G187" s="29">
        <v>312.19</v>
      </c>
      <c r="H187" s="27">
        <v>0.1</v>
      </c>
      <c r="I187" s="29">
        <v>1404.86</v>
      </c>
      <c r="J187" s="29">
        <v>905.57</v>
      </c>
      <c r="K187" s="29">
        <v>499.29</v>
      </c>
      <c r="L187" s="27">
        <f>(Table2[[#This Row],[Profit]]/Table2[[#This Row],[Revenue]])</f>
        <v>0.35540196176131433</v>
      </c>
    </row>
    <row r="188" spans="1:12" x14ac:dyDescent="0.3">
      <c r="A188" s="25" t="s">
        <v>212</v>
      </c>
      <c r="B188" s="26">
        <v>46021</v>
      </c>
      <c r="C188" s="25" t="s">
        <v>16</v>
      </c>
      <c r="D188" s="25" t="s">
        <v>13</v>
      </c>
      <c r="E188" s="25" t="s">
        <v>31</v>
      </c>
      <c r="F188" s="25">
        <v>2</v>
      </c>
      <c r="G188" s="29">
        <v>811.31</v>
      </c>
      <c r="H188" s="27">
        <v>0.15</v>
      </c>
      <c r="I188" s="29">
        <v>1379.23</v>
      </c>
      <c r="J188" s="29">
        <v>997.87</v>
      </c>
      <c r="K188" s="29">
        <v>381.36</v>
      </c>
      <c r="L188" s="27">
        <f>(Table2[[#This Row],[Profit]]/Table2[[#This Row],[Revenue]])</f>
        <v>0.27650210624768895</v>
      </c>
    </row>
    <row r="189" spans="1:12" x14ac:dyDescent="0.3">
      <c r="A189" s="25" t="s">
        <v>213</v>
      </c>
      <c r="B189" s="26">
        <v>45786</v>
      </c>
      <c r="C189" s="25" t="s">
        <v>16</v>
      </c>
      <c r="D189" s="25" t="s">
        <v>13</v>
      </c>
      <c r="E189" s="25" t="s">
        <v>18</v>
      </c>
      <c r="F189" s="25">
        <v>3</v>
      </c>
      <c r="G189" s="29">
        <v>694.83</v>
      </c>
      <c r="H189" s="27">
        <v>0</v>
      </c>
      <c r="I189" s="29">
        <v>2084.5</v>
      </c>
      <c r="J189" s="29">
        <v>1598.55</v>
      </c>
      <c r="K189" s="29">
        <v>485.95</v>
      </c>
      <c r="L189" s="27">
        <f>(Table2[[#This Row],[Profit]]/Table2[[#This Row],[Revenue]])</f>
        <v>0.23312544974814103</v>
      </c>
    </row>
    <row r="190" spans="1:12" x14ac:dyDescent="0.3">
      <c r="A190" s="25" t="s">
        <v>214</v>
      </c>
      <c r="B190" s="26">
        <v>45933</v>
      </c>
      <c r="C190" s="25" t="s">
        <v>12</v>
      </c>
      <c r="D190" s="25" t="s">
        <v>13</v>
      </c>
      <c r="E190" s="25" t="s">
        <v>31</v>
      </c>
      <c r="F190" s="25">
        <v>1</v>
      </c>
      <c r="G190" s="29">
        <v>610.22</v>
      </c>
      <c r="H190" s="27">
        <v>0.1</v>
      </c>
      <c r="I190" s="29">
        <v>549.20000000000005</v>
      </c>
      <c r="J190" s="29">
        <v>433.85</v>
      </c>
      <c r="K190" s="29">
        <v>115.35</v>
      </c>
      <c r="L190" s="27">
        <f>(Table2[[#This Row],[Profit]]/Table2[[#This Row],[Revenue]])</f>
        <v>0.21003277494537506</v>
      </c>
    </row>
    <row r="191" spans="1:12" x14ac:dyDescent="0.3">
      <c r="A191" s="25" t="s">
        <v>215</v>
      </c>
      <c r="B191" s="26">
        <v>45984</v>
      </c>
      <c r="C191" s="25" t="s">
        <v>21</v>
      </c>
      <c r="D191" s="25" t="s">
        <v>13</v>
      </c>
      <c r="E191" s="25" t="s">
        <v>24</v>
      </c>
      <c r="F191" s="25">
        <v>7</v>
      </c>
      <c r="G191" s="29">
        <v>486.87</v>
      </c>
      <c r="H191" s="27">
        <v>0.2</v>
      </c>
      <c r="I191" s="29">
        <v>2726.49</v>
      </c>
      <c r="J191" s="29">
        <v>1929.09</v>
      </c>
      <c r="K191" s="29">
        <v>797.4</v>
      </c>
      <c r="L191" s="27">
        <f>(Table2[[#This Row],[Profit]]/Table2[[#This Row],[Revenue]])</f>
        <v>0.29246393714996205</v>
      </c>
    </row>
    <row r="192" spans="1:12" x14ac:dyDescent="0.3">
      <c r="A192" s="25" t="s">
        <v>216</v>
      </c>
      <c r="B192" s="26">
        <v>45847</v>
      </c>
      <c r="C192" s="25" t="s">
        <v>21</v>
      </c>
      <c r="D192" s="25" t="s">
        <v>13</v>
      </c>
      <c r="E192" s="25" t="s">
        <v>29</v>
      </c>
      <c r="F192" s="25">
        <v>1</v>
      </c>
      <c r="G192" s="29">
        <v>729.71</v>
      </c>
      <c r="H192" s="27">
        <v>0</v>
      </c>
      <c r="I192" s="29">
        <v>729.71</v>
      </c>
      <c r="J192" s="29">
        <v>381.14</v>
      </c>
      <c r="K192" s="29">
        <v>348.57</v>
      </c>
      <c r="L192" s="27">
        <f>(Table2[[#This Row],[Profit]]/Table2[[#This Row],[Revenue]])</f>
        <v>0.4776829151306683</v>
      </c>
    </row>
    <row r="193" spans="1:12" x14ac:dyDescent="0.3">
      <c r="A193" s="25" t="s">
        <v>217</v>
      </c>
      <c r="B193" s="26">
        <v>45939</v>
      </c>
      <c r="C193" s="25" t="s">
        <v>12</v>
      </c>
      <c r="D193" s="25" t="s">
        <v>33</v>
      </c>
      <c r="E193" s="25" t="s">
        <v>18</v>
      </c>
      <c r="F193" s="25">
        <v>2</v>
      </c>
      <c r="G193" s="29">
        <v>842.49</v>
      </c>
      <c r="H193" s="27">
        <v>0.15</v>
      </c>
      <c r="I193" s="29">
        <v>1432.23</v>
      </c>
      <c r="J193" s="29">
        <v>1086.23</v>
      </c>
      <c r="K193" s="29">
        <v>345.99</v>
      </c>
      <c r="L193" s="27">
        <f>(Table2[[#This Row],[Profit]]/Table2[[#This Row],[Revenue]])</f>
        <v>0.24157432814561908</v>
      </c>
    </row>
    <row r="194" spans="1:12" x14ac:dyDescent="0.3">
      <c r="A194" s="25" t="s">
        <v>218</v>
      </c>
      <c r="B194" s="26">
        <v>45935</v>
      </c>
      <c r="C194" s="25" t="s">
        <v>12</v>
      </c>
      <c r="D194" s="25" t="s">
        <v>17</v>
      </c>
      <c r="E194" s="25" t="s">
        <v>18</v>
      </c>
      <c r="F194" s="25">
        <v>10</v>
      </c>
      <c r="G194" s="29">
        <v>581.79</v>
      </c>
      <c r="H194" s="27">
        <v>0.15</v>
      </c>
      <c r="I194" s="29">
        <v>4945.1899999999996</v>
      </c>
      <c r="J194" s="29">
        <v>3345.04</v>
      </c>
      <c r="K194" s="29">
        <v>1600.14</v>
      </c>
      <c r="L194" s="27">
        <f>(Table2[[#This Row],[Profit]]/Table2[[#This Row],[Revenue]])</f>
        <v>0.32357502947308397</v>
      </c>
    </row>
    <row r="195" spans="1:12" x14ac:dyDescent="0.3">
      <c r="A195" s="25" t="s">
        <v>219</v>
      </c>
      <c r="B195" s="26">
        <v>46018</v>
      </c>
      <c r="C195" s="25" t="s">
        <v>12</v>
      </c>
      <c r="D195" s="25" t="s">
        <v>13</v>
      </c>
      <c r="E195" s="25" t="s">
        <v>31</v>
      </c>
      <c r="F195" s="25">
        <v>4</v>
      </c>
      <c r="G195" s="29">
        <v>270.75</v>
      </c>
      <c r="H195" s="27">
        <v>0.2</v>
      </c>
      <c r="I195" s="29">
        <v>866.42</v>
      </c>
      <c r="J195" s="29">
        <v>391.96</v>
      </c>
      <c r="K195" s="29">
        <v>474.46</v>
      </c>
      <c r="L195" s="27">
        <f>(Table2[[#This Row],[Profit]]/Table2[[#This Row],[Revenue]])</f>
        <v>0.54760970430045475</v>
      </c>
    </row>
    <row r="196" spans="1:12" x14ac:dyDescent="0.3">
      <c r="A196" s="25" t="s">
        <v>220</v>
      </c>
      <c r="B196" s="26">
        <v>45759</v>
      </c>
      <c r="C196" s="25" t="s">
        <v>28</v>
      </c>
      <c r="D196" s="25" t="s">
        <v>13</v>
      </c>
      <c r="E196" s="25" t="s">
        <v>31</v>
      </c>
      <c r="F196" s="25">
        <v>4</v>
      </c>
      <c r="G196" s="29">
        <v>30.78</v>
      </c>
      <c r="H196" s="27">
        <v>0</v>
      </c>
      <c r="I196" s="29">
        <v>123.12</v>
      </c>
      <c r="J196" s="29">
        <v>55.5</v>
      </c>
      <c r="K196" s="29">
        <v>67.62</v>
      </c>
      <c r="L196" s="27">
        <f>(Table2[[#This Row],[Profit]]/Table2[[#This Row],[Revenue]])</f>
        <v>0.5492202729044835</v>
      </c>
    </row>
    <row r="197" spans="1:12" x14ac:dyDescent="0.3">
      <c r="A197" s="25" t="s">
        <v>221</v>
      </c>
      <c r="B197" s="26">
        <v>46008</v>
      </c>
      <c r="C197" s="25" t="s">
        <v>12</v>
      </c>
      <c r="D197" s="25" t="s">
        <v>13</v>
      </c>
      <c r="E197" s="25" t="s">
        <v>31</v>
      </c>
      <c r="F197" s="25">
        <v>6</v>
      </c>
      <c r="G197" s="29">
        <v>694.31</v>
      </c>
      <c r="H197" s="27">
        <v>0.05</v>
      </c>
      <c r="I197" s="29">
        <v>3957.55</v>
      </c>
      <c r="J197" s="29">
        <v>3107.47</v>
      </c>
      <c r="K197" s="29">
        <v>850.09</v>
      </c>
      <c r="L197" s="27">
        <f>(Table2[[#This Row],[Profit]]/Table2[[#This Row],[Revenue]])</f>
        <v>0.21480208714987808</v>
      </c>
    </row>
    <row r="198" spans="1:12" x14ac:dyDescent="0.3">
      <c r="A198" s="25" t="s">
        <v>222</v>
      </c>
      <c r="B198" s="26">
        <v>45995</v>
      </c>
      <c r="C198" s="25" t="s">
        <v>28</v>
      </c>
      <c r="D198" s="25" t="s">
        <v>13</v>
      </c>
      <c r="E198" s="25" t="s">
        <v>22</v>
      </c>
      <c r="F198" s="25">
        <v>4</v>
      </c>
      <c r="G198" s="29">
        <v>262.38</v>
      </c>
      <c r="H198" s="27">
        <v>0.05</v>
      </c>
      <c r="I198" s="29">
        <v>997.03</v>
      </c>
      <c r="J198" s="29">
        <v>692.15</v>
      </c>
      <c r="K198" s="29">
        <v>304.88</v>
      </c>
      <c r="L198" s="27">
        <f>(Table2[[#This Row],[Profit]]/Table2[[#This Row],[Revenue]])</f>
        <v>0.30578819092705334</v>
      </c>
    </row>
    <row r="199" spans="1:12" x14ac:dyDescent="0.3">
      <c r="A199" s="25" t="s">
        <v>223</v>
      </c>
      <c r="B199" s="26">
        <v>45739</v>
      </c>
      <c r="C199" s="25" t="s">
        <v>21</v>
      </c>
      <c r="D199" s="25" t="s">
        <v>33</v>
      </c>
      <c r="E199" s="25" t="s">
        <v>18</v>
      </c>
      <c r="F199" s="25">
        <v>5</v>
      </c>
      <c r="G199" s="29">
        <v>526.58000000000004</v>
      </c>
      <c r="H199" s="27">
        <v>0.1</v>
      </c>
      <c r="I199" s="29">
        <v>2369.59</v>
      </c>
      <c r="J199" s="29">
        <v>1671.39</v>
      </c>
      <c r="K199" s="29">
        <v>698.21</v>
      </c>
      <c r="L199" s="27">
        <f>(Table2[[#This Row],[Profit]]/Table2[[#This Row],[Revenue]])</f>
        <v>0.29465434948662006</v>
      </c>
    </row>
    <row r="200" spans="1:12" x14ac:dyDescent="0.3">
      <c r="A200" s="25" t="s">
        <v>224</v>
      </c>
      <c r="B200" s="26">
        <v>45934</v>
      </c>
      <c r="C200" s="25" t="s">
        <v>28</v>
      </c>
      <c r="D200" s="25" t="s">
        <v>17</v>
      </c>
      <c r="E200" s="25" t="s">
        <v>34</v>
      </c>
      <c r="F200" s="25">
        <v>2</v>
      </c>
      <c r="G200" s="29">
        <v>600.12</v>
      </c>
      <c r="H200" s="27">
        <v>0.05</v>
      </c>
      <c r="I200" s="29">
        <v>1140.23</v>
      </c>
      <c r="J200" s="29">
        <v>878.24</v>
      </c>
      <c r="K200" s="29">
        <v>261.99</v>
      </c>
      <c r="L200" s="27">
        <f>(Table2[[#This Row],[Profit]]/Table2[[#This Row],[Revenue]])</f>
        <v>0.22976943248292012</v>
      </c>
    </row>
    <row r="201" spans="1:12" x14ac:dyDescent="0.3">
      <c r="A201" s="25" t="s">
        <v>225</v>
      </c>
      <c r="B201" s="26">
        <v>45662</v>
      </c>
      <c r="C201" s="25" t="s">
        <v>16</v>
      </c>
      <c r="D201" s="25" t="s">
        <v>13</v>
      </c>
      <c r="E201" s="25" t="s">
        <v>31</v>
      </c>
      <c r="F201" s="25">
        <v>3</v>
      </c>
      <c r="G201" s="29">
        <v>822.23</v>
      </c>
      <c r="H201" s="27">
        <v>0.2</v>
      </c>
      <c r="I201" s="29">
        <v>1973.36</v>
      </c>
      <c r="J201" s="29">
        <v>1434.12</v>
      </c>
      <c r="K201" s="29">
        <v>539.23</v>
      </c>
      <c r="L201" s="27">
        <f>(Table2[[#This Row],[Profit]]/Table2[[#This Row],[Revenue]])</f>
        <v>0.27325475331414445</v>
      </c>
    </row>
    <row r="202" spans="1:12" x14ac:dyDescent="0.3">
      <c r="A202" s="25" t="s">
        <v>226</v>
      </c>
      <c r="B202" s="26">
        <v>45961</v>
      </c>
      <c r="C202" s="25" t="s">
        <v>12</v>
      </c>
      <c r="D202" s="25" t="s">
        <v>13</v>
      </c>
      <c r="E202" s="25" t="s">
        <v>24</v>
      </c>
      <c r="F202" s="25">
        <v>3</v>
      </c>
      <c r="G202" s="29">
        <v>682.9</v>
      </c>
      <c r="H202" s="27">
        <v>0.1</v>
      </c>
      <c r="I202" s="29">
        <v>1843.83</v>
      </c>
      <c r="J202" s="29">
        <v>1333.27</v>
      </c>
      <c r="K202" s="29">
        <v>510.56</v>
      </c>
      <c r="L202" s="27">
        <f>(Table2[[#This Row],[Profit]]/Table2[[#This Row],[Revenue]])</f>
        <v>0.2769018835792888</v>
      </c>
    </row>
    <row r="203" spans="1:12" x14ac:dyDescent="0.3">
      <c r="A203" s="25" t="s">
        <v>227</v>
      </c>
      <c r="B203" s="26">
        <v>45982</v>
      </c>
      <c r="C203" s="25" t="s">
        <v>21</v>
      </c>
      <c r="D203" s="25" t="s">
        <v>13</v>
      </c>
      <c r="E203" s="25" t="s">
        <v>14</v>
      </c>
      <c r="F203" s="25">
        <v>4</v>
      </c>
      <c r="G203" s="29">
        <v>804.52</v>
      </c>
      <c r="H203" s="27">
        <v>0</v>
      </c>
      <c r="I203" s="29">
        <v>3218.06</v>
      </c>
      <c r="J203" s="29">
        <v>1658.38</v>
      </c>
      <c r="K203" s="29">
        <v>1559.69</v>
      </c>
      <c r="L203" s="27">
        <f>(Table2[[#This Row],[Profit]]/Table2[[#This Row],[Revenue]])</f>
        <v>0.48466778120979725</v>
      </c>
    </row>
    <row r="204" spans="1:12" x14ac:dyDescent="0.3">
      <c r="A204" s="25" t="s">
        <v>228</v>
      </c>
      <c r="B204" s="26">
        <v>45794</v>
      </c>
      <c r="C204" s="25" t="s">
        <v>16</v>
      </c>
      <c r="D204" s="25" t="s">
        <v>13</v>
      </c>
      <c r="E204" s="25" t="s">
        <v>24</v>
      </c>
      <c r="F204" s="25">
        <v>11</v>
      </c>
      <c r="G204" s="29">
        <v>252.33</v>
      </c>
      <c r="H204" s="27">
        <v>0.15</v>
      </c>
      <c r="I204" s="29">
        <v>2359.2399999999998</v>
      </c>
      <c r="J204" s="29">
        <v>1218.7</v>
      </c>
      <c r="K204" s="29">
        <v>1140.55</v>
      </c>
      <c r="L204" s="27">
        <f>(Table2[[#This Row],[Profit]]/Table2[[#This Row],[Revenue]])</f>
        <v>0.48343958223834799</v>
      </c>
    </row>
    <row r="205" spans="1:12" x14ac:dyDescent="0.3">
      <c r="A205" s="25" t="s">
        <v>229</v>
      </c>
      <c r="B205" s="26">
        <v>45893</v>
      </c>
      <c r="C205" s="25" t="s">
        <v>28</v>
      </c>
      <c r="D205" s="25" t="s">
        <v>13</v>
      </c>
      <c r="E205" s="25" t="s">
        <v>22</v>
      </c>
      <c r="F205" s="25">
        <v>4</v>
      </c>
      <c r="G205" s="29">
        <v>482.35</v>
      </c>
      <c r="H205" s="27">
        <v>0</v>
      </c>
      <c r="I205" s="29">
        <v>1929.39</v>
      </c>
      <c r="J205" s="29">
        <v>1480.61</v>
      </c>
      <c r="K205" s="29">
        <v>448.78</v>
      </c>
      <c r="L205" s="27">
        <f>(Table2[[#This Row],[Profit]]/Table2[[#This Row],[Revenue]])</f>
        <v>0.23260201410808595</v>
      </c>
    </row>
    <row r="206" spans="1:12" x14ac:dyDescent="0.3">
      <c r="A206" s="25" t="s">
        <v>230</v>
      </c>
      <c r="B206" s="26">
        <v>46001</v>
      </c>
      <c r="C206" s="25" t="s">
        <v>28</v>
      </c>
      <c r="D206" s="25" t="s">
        <v>33</v>
      </c>
      <c r="E206" s="25" t="s">
        <v>31</v>
      </c>
      <c r="F206" s="25">
        <v>4</v>
      </c>
      <c r="G206" s="29">
        <v>854.56</v>
      </c>
      <c r="H206" s="27">
        <v>0</v>
      </c>
      <c r="I206" s="29">
        <v>3418.23</v>
      </c>
      <c r="J206" s="29">
        <v>1712.63</v>
      </c>
      <c r="K206" s="29">
        <v>1705.6</v>
      </c>
      <c r="L206" s="27">
        <f>(Table2[[#This Row],[Profit]]/Table2[[#This Row],[Revenue]])</f>
        <v>0.49897169002670971</v>
      </c>
    </row>
    <row r="207" spans="1:12" x14ac:dyDescent="0.3">
      <c r="A207" s="25" t="s">
        <v>231</v>
      </c>
      <c r="B207" s="26">
        <v>45684</v>
      </c>
      <c r="C207" s="25" t="s">
        <v>12</v>
      </c>
      <c r="D207" s="25" t="s">
        <v>17</v>
      </c>
      <c r="E207" s="25" t="s">
        <v>26</v>
      </c>
      <c r="F207" s="25">
        <v>3</v>
      </c>
      <c r="G207" s="29">
        <v>480.53</v>
      </c>
      <c r="H207" s="27">
        <v>0</v>
      </c>
      <c r="I207" s="29">
        <v>1441.59</v>
      </c>
      <c r="J207" s="29">
        <v>811</v>
      </c>
      <c r="K207" s="29">
        <v>630.6</v>
      </c>
      <c r="L207" s="27">
        <f>(Table2[[#This Row],[Profit]]/Table2[[#This Row],[Revenue]])</f>
        <v>0.43743366699269559</v>
      </c>
    </row>
    <row r="208" spans="1:12" x14ac:dyDescent="0.3">
      <c r="A208" s="25" t="s">
        <v>232</v>
      </c>
      <c r="B208" s="26">
        <v>45882</v>
      </c>
      <c r="C208" s="25" t="s">
        <v>16</v>
      </c>
      <c r="D208" s="25" t="s">
        <v>33</v>
      </c>
      <c r="E208" s="25" t="s">
        <v>31</v>
      </c>
      <c r="F208" s="25">
        <v>2</v>
      </c>
      <c r="G208" s="29">
        <v>888.18</v>
      </c>
      <c r="H208" s="27">
        <v>0.05</v>
      </c>
      <c r="I208" s="29">
        <v>1687.54</v>
      </c>
      <c r="J208" s="29">
        <v>885.97</v>
      </c>
      <c r="K208" s="29">
        <v>801.57</v>
      </c>
      <c r="L208" s="27">
        <f>(Table2[[#This Row],[Profit]]/Table2[[#This Row],[Revenue]])</f>
        <v>0.47499318534671775</v>
      </c>
    </row>
    <row r="209" spans="1:12" x14ac:dyDescent="0.3">
      <c r="A209" s="25" t="s">
        <v>233</v>
      </c>
      <c r="B209" s="26">
        <v>45741</v>
      </c>
      <c r="C209" s="25" t="s">
        <v>28</v>
      </c>
      <c r="D209" s="25" t="s">
        <v>13</v>
      </c>
      <c r="E209" s="25" t="s">
        <v>18</v>
      </c>
      <c r="F209" s="25">
        <v>1</v>
      </c>
      <c r="G209" s="29">
        <v>245.45</v>
      </c>
      <c r="H209" s="27">
        <v>0.1</v>
      </c>
      <c r="I209" s="29">
        <v>220.91</v>
      </c>
      <c r="J209" s="29">
        <v>140.19999999999999</v>
      </c>
      <c r="K209" s="29">
        <v>80.709999999999994</v>
      </c>
      <c r="L209" s="27">
        <f>(Table2[[#This Row],[Profit]]/Table2[[#This Row],[Revenue]])</f>
        <v>0.36535240595717711</v>
      </c>
    </row>
    <row r="210" spans="1:12" x14ac:dyDescent="0.3">
      <c r="A210" s="25" t="s">
        <v>234</v>
      </c>
      <c r="B210" s="26">
        <v>45739</v>
      </c>
      <c r="C210" s="25" t="s">
        <v>21</v>
      </c>
      <c r="D210" s="25" t="s">
        <v>17</v>
      </c>
      <c r="E210" s="25" t="s">
        <v>26</v>
      </c>
      <c r="F210" s="25">
        <v>8</v>
      </c>
      <c r="G210" s="29">
        <v>683.47</v>
      </c>
      <c r="H210" s="27">
        <v>0.15</v>
      </c>
      <c r="I210" s="29">
        <v>4647.6099999999997</v>
      </c>
      <c r="J210" s="29">
        <v>2232.34</v>
      </c>
      <c r="K210" s="29">
        <v>2415.27</v>
      </c>
      <c r="L210" s="27">
        <f>(Table2[[#This Row],[Profit]]/Table2[[#This Row],[Revenue]])</f>
        <v>0.5196800075737853</v>
      </c>
    </row>
    <row r="211" spans="1:12" x14ac:dyDescent="0.3">
      <c r="A211" s="25" t="s">
        <v>235</v>
      </c>
      <c r="B211" s="26">
        <v>45838</v>
      </c>
      <c r="C211" s="25" t="s">
        <v>21</v>
      </c>
      <c r="D211" s="25" t="s">
        <v>17</v>
      </c>
      <c r="E211" s="25" t="s">
        <v>29</v>
      </c>
      <c r="F211" s="25">
        <v>10</v>
      </c>
      <c r="G211" s="29">
        <v>245.29</v>
      </c>
      <c r="H211" s="27">
        <v>0.1</v>
      </c>
      <c r="I211" s="29">
        <v>2207.6</v>
      </c>
      <c r="J211" s="29">
        <v>1010.18</v>
      </c>
      <c r="K211" s="29">
        <v>1197.42</v>
      </c>
      <c r="L211" s="27">
        <f>(Table2[[#This Row],[Profit]]/Table2[[#This Row],[Revenue]])</f>
        <v>0.54240804493567685</v>
      </c>
    </row>
    <row r="212" spans="1:12" x14ac:dyDescent="0.3">
      <c r="A212" s="25" t="s">
        <v>236</v>
      </c>
      <c r="B212" s="26">
        <v>45722</v>
      </c>
      <c r="C212" s="25" t="s">
        <v>12</v>
      </c>
      <c r="D212" s="25" t="s">
        <v>33</v>
      </c>
      <c r="E212" s="25" t="s">
        <v>14</v>
      </c>
      <c r="F212" s="25">
        <v>10</v>
      </c>
      <c r="G212" s="29">
        <v>487.21</v>
      </c>
      <c r="H212" s="27">
        <v>0.1</v>
      </c>
      <c r="I212" s="29">
        <v>4384.88</v>
      </c>
      <c r="J212" s="29">
        <v>2165.1999999999998</v>
      </c>
      <c r="K212" s="29">
        <v>2219.67</v>
      </c>
      <c r="L212" s="27">
        <f>(Table2[[#This Row],[Profit]]/Table2[[#This Row],[Revenue]])</f>
        <v>0.50620997609968799</v>
      </c>
    </row>
    <row r="213" spans="1:12" x14ac:dyDescent="0.3">
      <c r="A213" s="25" t="s">
        <v>237</v>
      </c>
      <c r="B213" s="26">
        <v>45992</v>
      </c>
      <c r="C213" s="25" t="s">
        <v>21</v>
      </c>
      <c r="D213" s="25" t="s">
        <v>33</v>
      </c>
      <c r="E213" s="25" t="s">
        <v>14</v>
      </c>
      <c r="F213" s="25">
        <v>11</v>
      </c>
      <c r="G213" s="29">
        <v>780.78</v>
      </c>
      <c r="H213" s="27">
        <v>0</v>
      </c>
      <c r="I213" s="29">
        <v>8588.56</v>
      </c>
      <c r="J213" s="29">
        <v>5344.53</v>
      </c>
      <c r="K213" s="29">
        <v>3244.02</v>
      </c>
      <c r="L213" s="27">
        <f>(Table2[[#This Row],[Profit]]/Table2[[#This Row],[Revenue]])</f>
        <v>0.37771407546783164</v>
      </c>
    </row>
    <row r="214" spans="1:12" x14ac:dyDescent="0.3">
      <c r="A214" s="25" t="s">
        <v>238</v>
      </c>
      <c r="B214" s="26">
        <v>45996</v>
      </c>
      <c r="C214" s="25" t="s">
        <v>21</v>
      </c>
      <c r="D214" s="25" t="s">
        <v>13</v>
      </c>
      <c r="E214" s="25" t="s">
        <v>24</v>
      </c>
      <c r="F214" s="25">
        <v>11</v>
      </c>
      <c r="G214" s="29">
        <v>25.29</v>
      </c>
      <c r="H214" s="27">
        <v>0.05</v>
      </c>
      <c r="I214" s="29">
        <v>264.31</v>
      </c>
      <c r="J214" s="29">
        <v>138.58000000000001</v>
      </c>
      <c r="K214" s="29">
        <v>125.73</v>
      </c>
      <c r="L214" s="27">
        <f>(Table2[[#This Row],[Profit]]/Table2[[#This Row],[Revenue]])</f>
        <v>0.47569142295032352</v>
      </c>
    </row>
    <row r="215" spans="1:12" x14ac:dyDescent="0.3">
      <c r="A215" s="25" t="s">
        <v>239</v>
      </c>
      <c r="B215" s="26">
        <v>45805</v>
      </c>
      <c r="C215" s="25" t="s">
        <v>28</v>
      </c>
      <c r="D215" s="25" t="s">
        <v>33</v>
      </c>
      <c r="E215" s="25" t="s">
        <v>24</v>
      </c>
      <c r="F215" s="25">
        <v>6</v>
      </c>
      <c r="G215" s="29">
        <v>384.4</v>
      </c>
      <c r="H215" s="27">
        <v>0.2</v>
      </c>
      <c r="I215" s="29">
        <v>1845.11</v>
      </c>
      <c r="J215" s="29">
        <v>943.43</v>
      </c>
      <c r="K215" s="29">
        <v>901.69</v>
      </c>
      <c r="L215" s="27">
        <f>(Table2[[#This Row],[Profit]]/Table2[[#This Row],[Revenue]])</f>
        <v>0.48869173111630204</v>
      </c>
    </row>
    <row r="216" spans="1:12" x14ac:dyDescent="0.3">
      <c r="A216" s="25" t="s">
        <v>240</v>
      </c>
      <c r="B216" s="26">
        <v>45904</v>
      </c>
      <c r="C216" s="25" t="s">
        <v>28</v>
      </c>
      <c r="D216" s="25" t="s">
        <v>17</v>
      </c>
      <c r="E216" s="25" t="s">
        <v>18</v>
      </c>
      <c r="F216" s="25">
        <v>11</v>
      </c>
      <c r="G216" s="29">
        <v>204.33</v>
      </c>
      <c r="H216" s="27">
        <v>0.05</v>
      </c>
      <c r="I216" s="29">
        <v>2135.1999999999998</v>
      </c>
      <c r="J216" s="29">
        <v>1392.6</v>
      </c>
      <c r="K216" s="29">
        <v>742.6</v>
      </c>
      <c r="L216" s="27">
        <f>(Table2[[#This Row],[Profit]]/Table2[[#This Row],[Revenue]])</f>
        <v>0.34778943424503561</v>
      </c>
    </row>
    <row r="217" spans="1:12" x14ac:dyDescent="0.3">
      <c r="A217" s="25" t="s">
        <v>241</v>
      </c>
      <c r="B217" s="26">
        <v>45820</v>
      </c>
      <c r="C217" s="25" t="s">
        <v>12</v>
      </c>
      <c r="D217" s="25" t="s">
        <v>17</v>
      </c>
      <c r="E217" s="25" t="s">
        <v>26</v>
      </c>
      <c r="F217" s="25">
        <v>10</v>
      </c>
      <c r="G217" s="29">
        <v>873.52</v>
      </c>
      <c r="H217" s="27">
        <v>0.15</v>
      </c>
      <c r="I217" s="29">
        <v>7424.91</v>
      </c>
      <c r="J217" s="29">
        <v>4025.81</v>
      </c>
      <c r="K217" s="29">
        <v>3399.1</v>
      </c>
      <c r="L217" s="27">
        <f>(Table2[[#This Row],[Profit]]/Table2[[#This Row],[Revenue]])</f>
        <v>0.45779679484330449</v>
      </c>
    </row>
    <row r="218" spans="1:12" x14ac:dyDescent="0.3">
      <c r="A218" s="25" t="s">
        <v>242</v>
      </c>
      <c r="B218" s="26">
        <v>45972</v>
      </c>
      <c r="C218" s="25" t="s">
        <v>16</v>
      </c>
      <c r="D218" s="25" t="s">
        <v>13</v>
      </c>
      <c r="E218" s="25" t="s">
        <v>31</v>
      </c>
      <c r="F218" s="25">
        <v>10</v>
      </c>
      <c r="G218" s="29">
        <v>225.94</v>
      </c>
      <c r="H218" s="27">
        <v>0.1</v>
      </c>
      <c r="I218" s="29">
        <v>2033.49</v>
      </c>
      <c r="J218" s="29">
        <v>934.73</v>
      </c>
      <c r="K218" s="29">
        <v>1098.76</v>
      </c>
      <c r="L218" s="27">
        <f>(Table2[[#This Row],[Profit]]/Table2[[#This Row],[Revenue]])</f>
        <v>0.54033213834343907</v>
      </c>
    </row>
    <row r="219" spans="1:12" x14ac:dyDescent="0.3">
      <c r="A219" s="25" t="s">
        <v>243</v>
      </c>
      <c r="B219" s="26">
        <v>45749</v>
      </c>
      <c r="C219" s="25" t="s">
        <v>12</v>
      </c>
      <c r="D219" s="25" t="s">
        <v>17</v>
      </c>
      <c r="E219" s="25" t="s">
        <v>34</v>
      </c>
      <c r="F219" s="25">
        <v>7</v>
      </c>
      <c r="G219" s="29">
        <v>785.55</v>
      </c>
      <c r="H219" s="27">
        <v>0</v>
      </c>
      <c r="I219" s="29">
        <v>5498.88</v>
      </c>
      <c r="J219" s="29">
        <v>3544.46</v>
      </c>
      <c r="K219" s="29">
        <v>1954.42</v>
      </c>
      <c r="L219" s="27">
        <f>(Table2[[#This Row],[Profit]]/Table2[[#This Row],[Revenue]])</f>
        <v>0.35542146764432031</v>
      </c>
    </row>
    <row r="220" spans="1:12" x14ac:dyDescent="0.3">
      <c r="A220" s="25" t="s">
        <v>244</v>
      </c>
      <c r="B220" s="26">
        <v>46008</v>
      </c>
      <c r="C220" s="25" t="s">
        <v>21</v>
      </c>
      <c r="D220" s="25" t="s">
        <v>33</v>
      </c>
      <c r="E220" s="25" t="s">
        <v>18</v>
      </c>
      <c r="F220" s="25">
        <v>6</v>
      </c>
      <c r="G220" s="29">
        <v>870.94</v>
      </c>
      <c r="H220" s="27">
        <v>0</v>
      </c>
      <c r="I220" s="29">
        <v>5225.63</v>
      </c>
      <c r="J220" s="29">
        <v>3791.89</v>
      </c>
      <c r="K220" s="29">
        <v>1433.74</v>
      </c>
      <c r="L220" s="27">
        <f>(Table2[[#This Row],[Profit]]/Table2[[#This Row],[Revenue]])</f>
        <v>0.27436691843854233</v>
      </c>
    </row>
    <row r="221" spans="1:12" x14ac:dyDescent="0.3">
      <c r="A221" s="25" t="s">
        <v>245</v>
      </c>
      <c r="B221" s="26">
        <v>45987</v>
      </c>
      <c r="C221" s="25" t="s">
        <v>16</v>
      </c>
      <c r="D221" s="25" t="s">
        <v>13</v>
      </c>
      <c r="E221" s="25" t="s">
        <v>14</v>
      </c>
      <c r="F221" s="25">
        <v>8</v>
      </c>
      <c r="G221" s="29">
        <v>544.45000000000005</v>
      </c>
      <c r="H221" s="27">
        <v>0</v>
      </c>
      <c r="I221" s="29">
        <v>4355.63</v>
      </c>
      <c r="J221" s="29">
        <v>2294.09</v>
      </c>
      <c r="K221" s="29">
        <v>2061.54</v>
      </c>
      <c r="L221" s="27">
        <f>(Table2[[#This Row],[Profit]]/Table2[[#This Row],[Revenue]])</f>
        <v>0.47330466545597305</v>
      </c>
    </row>
    <row r="222" spans="1:12" x14ac:dyDescent="0.3">
      <c r="A222" s="25" t="s">
        <v>246</v>
      </c>
      <c r="B222" s="26">
        <v>45970</v>
      </c>
      <c r="C222" s="25" t="s">
        <v>12</v>
      </c>
      <c r="D222" s="25" t="s">
        <v>17</v>
      </c>
      <c r="E222" s="25" t="s">
        <v>31</v>
      </c>
      <c r="F222" s="25">
        <v>9</v>
      </c>
      <c r="G222" s="29">
        <v>756.98</v>
      </c>
      <c r="H222" s="27">
        <v>0.05</v>
      </c>
      <c r="I222" s="29">
        <v>6472.17</v>
      </c>
      <c r="J222" s="29">
        <v>3156.73</v>
      </c>
      <c r="K222" s="29">
        <v>3315.43</v>
      </c>
      <c r="L222" s="27">
        <f>(Table2[[#This Row],[Profit]]/Table2[[#This Row],[Revenue]])</f>
        <v>0.51225941222186677</v>
      </c>
    </row>
    <row r="223" spans="1:12" x14ac:dyDescent="0.3">
      <c r="A223" s="25" t="s">
        <v>247</v>
      </c>
      <c r="B223" s="26">
        <v>45827</v>
      </c>
      <c r="C223" s="25" t="s">
        <v>12</v>
      </c>
      <c r="D223" s="25" t="s">
        <v>33</v>
      </c>
      <c r="E223" s="25" t="s">
        <v>22</v>
      </c>
      <c r="F223" s="25">
        <v>11</v>
      </c>
      <c r="G223" s="29">
        <v>731.39</v>
      </c>
      <c r="H223" s="27">
        <v>0.1</v>
      </c>
      <c r="I223" s="29">
        <v>7240.75</v>
      </c>
      <c r="J223" s="29">
        <v>5562.07</v>
      </c>
      <c r="K223" s="29">
        <v>1678.69</v>
      </c>
      <c r="L223" s="27">
        <f>(Table2[[#This Row],[Profit]]/Table2[[#This Row],[Revenue]])</f>
        <v>0.23183924317232332</v>
      </c>
    </row>
    <row r="224" spans="1:12" x14ac:dyDescent="0.3">
      <c r="A224" s="25" t="s">
        <v>248</v>
      </c>
      <c r="B224" s="26">
        <v>45756</v>
      </c>
      <c r="C224" s="25" t="s">
        <v>21</v>
      </c>
      <c r="D224" s="25" t="s">
        <v>17</v>
      </c>
      <c r="E224" s="25" t="s">
        <v>14</v>
      </c>
      <c r="F224" s="25">
        <v>9</v>
      </c>
      <c r="G224" s="29">
        <v>203.84</v>
      </c>
      <c r="H224" s="27">
        <v>0</v>
      </c>
      <c r="I224" s="29">
        <v>1834.57</v>
      </c>
      <c r="J224" s="29">
        <v>929.31</v>
      </c>
      <c r="K224" s="29">
        <v>905.26</v>
      </c>
      <c r="L224" s="27">
        <f>(Table2[[#This Row],[Profit]]/Table2[[#This Row],[Revenue]])</f>
        <v>0.49344533051341732</v>
      </c>
    </row>
    <row r="225" spans="1:12" x14ac:dyDescent="0.3">
      <c r="A225" s="25" t="s">
        <v>249</v>
      </c>
      <c r="B225" s="26">
        <v>45834</v>
      </c>
      <c r="C225" s="25" t="s">
        <v>21</v>
      </c>
      <c r="D225" s="25" t="s">
        <v>33</v>
      </c>
      <c r="E225" s="25" t="s">
        <v>14</v>
      </c>
      <c r="F225" s="25">
        <v>4</v>
      </c>
      <c r="G225" s="29">
        <v>612.72</v>
      </c>
      <c r="H225" s="27">
        <v>0.15</v>
      </c>
      <c r="I225" s="29">
        <v>2083.2600000000002</v>
      </c>
      <c r="J225" s="29">
        <v>1255.44</v>
      </c>
      <c r="K225" s="29">
        <v>827.81</v>
      </c>
      <c r="L225" s="27">
        <f>(Table2[[#This Row],[Profit]]/Table2[[#This Row],[Revenue]])</f>
        <v>0.39736278717010831</v>
      </c>
    </row>
    <row r="226" spans="1:12" x14ac:dyDescent="0.3">
      <c r="A226" s="25" t="s">
        <v>250</v>
      </c>
      <c r="B226" s="26">
        <v>45949</v>
      </c>
      <c r="C226" s="25" t="s">
        <v>28</v>
      </c>
      <c r="D226" s="25" t="s">
        <v>33</v>
      </c>
      <c r="E226" s="25" t="s">
        <v>29</v>
      </c>
      <c r="F226" s="25">
        <v>3</v>
      </c>
      <c r="G226" s="29">
        <v>477.64</v>
      </c>
      <c r="H226" s="27">
        <v>0</v>
      </c>
      <c r="I226" s="29">
        <v>1432.92</v>
      </c>
      <c r="J226" s="29">
        <v>900.25</v>
      </c>
      <c r="K226" s="29">
        <v>532.66999999999996</v>
      </c>
      <c r="L226" s="27">
        <f>(Table2[[#This Row],[Profit]]/Table2[[#This Row],[Revenue]])</f>
        <v>0.3717374312592468</v>
      </c>
    </row>
    <row r="227" spans="1:12" x14ac:dyDescent="0.3">
      <c r="A227" s="25" t="s">
        <v>251</v>
      </c>
      <c r="B227" s="26">
        <v>45942</v>
      </c>
      <c r="C227" s="25" t="s">
        <v>21</v>
      </c>
      <c r="D227" s="25" t="s">
        <v>13</v>
      </c>
      <c r="E227" s="25" t="s">
        <v>26</v>
      </c>
      <c r="F227" s="25">
        <v>2</v>
      </c>
      <c r="G227" s="29">
        <v>859.15</v>
      </c>
      <c r="H227" s="27">
        <v>0.15</v>
      </c>
      <c r="I227" s="29">
        <v>1460.55</v>
      </c>
      <c r="J227" s="29">
        <v>1098.44</v>
      </c>
      <c r="K227" s="29">
        <v>362.11</v>
      </c>
      <c r="L227" s="27">
        <f>(Table2[[#This Row],[Profit]]/Table2[[#This Row],[Revenue]])</f>
        <v>0.24792715073088906</v>
      </c>
    </row>
    <row r="228" spans="1:12" x14ac:dyDescent="0.3">
      <c r="A228" s="25" t="s">
        <v>252</v>
      </c>
      <c r="B228" s="26">
        <v>46002</v>
      </c>
      <c r="C228" s="25" t="s">
        <v>12</v>
      </c>
      <c r="D228" s="25" t="s">
        <v>33</v>
      </c>
      <c r="E228" s="25" t="s">
        <v>24</v>
      </c>
      <c r="F228" s="25">
        <v>9</v>
      </c>
      <c r="G228" s="29">
        <v>384.67</v>
      </c>
      <c r="H228" s="27">
        <v>0.05</v>
      </c>
      <c r="I228" s="29">
        <v>3288.9</v>
      </c>
      <c r="J228" s="29">
        <v>1815.77</v>
      </c>
      <c r="K228" s="29">
        <v>1473.13</v>
      </c>
      <c r="L228" s="27">
        <f>(Table2[[#This Row],[Profit]]/Table2[[#This Row],[Revenue]])</f>
        <v>0.44790963544042084</v>
      </c>
    </row>
    <row r="229" spans="1:12" x14ac:dyDescent="0.3">
      <c r="A229" s="25" t="s">
        <v>253</v>
      </c>
      <c r="B229" s="26">
        <v>45820</v>
      </c>
      <c r="C229" s="25" t="s">
        <v>21</v>
      </c>
      <c r="D229" s="25" t="s">
        <v>13</v>
      </c>
      <c r="E229" s="25" t="s">
        <v>14</v>
      </c>
      <c r="F229" s="25">
        <v>2</v>
      </c>
      <c r="G229" s="29">
        <v>641</v>
      </c>
      <c r="H229" s="27">
        <v>0.05</v>
      </c>
      <c r="I229" s="29">
        <v>1217.9000000000001</v>
      </c>
      <c r="J229" s="29">
        <v>956.93</v>
      </c>
      <c r="K229" s="29">
        <v>260.97000000000003</v>
      </c>
      <c r="L229" s="27">
        <f>(Table2[[#This Row],[Profit]]/Table2[[#This Row],[Revenue]])</f>
        <v>0.21427867641021431</v>
      </c>
    </row>
    <row r="230" spans="1:12" x14ac:dyDescent="0.3">
      <c r="A230" s="25" t="s">
        <v>254</v>
      </c>
      <c r="B230" s="26">
        <v>45847</v>
      </c>
      <c r="C230" s="25" t="s">
        <v>16</v>
      </c>
      <c r="D230" s="25" t="s">
        <v>13</v>
      </c>
      <c r="E230" s="25" t="s">
        <v>29</v>
      </c>
      <c r="F230" s="25">
        <v>10</v>
      </c>
      <c r="G230" s="29">
        <v>73.11</v>
      </c>
      <c r="H230" s="27">
        <v>0.1</v>
      </c>
      <c r="I230" s="29">
        <v>658.02</v>
      </c>
      <c r="J230" s="29">
        <v>436.65</v>
      </c>
      <c r="K230" s="29">
        <v>221.36</v>
      </c>
      <c r="L230" s="27">
        <f>(Table2[[#This Row],[Profit]]/Table2[[#This Row],[Revenue]])</f>
        <v>0.3364031488404608</v>
      </c>
    </row>
    <row r="231" spans="1:12" x14ac:dyDescent="0.3">
      <c r="A231" s="25" t="s">
        <v>255</v>
      </c>
      <c r="B231" s="26">
        <v>45838</v>
      </c>
      <c r="C231" s="25" t="s">
        <v>12</v>
      </c>
      <c r="D231" s="25" t="s">
        <v>33</v>
      </c>
      <c r="E231" s="25" t="s">
        <v>18</v>
      </c>
      <c r="F231" s="25">
        <v>5</v>
      </c>
      <c r="G231" s="29">
        <v>258.64999999999998</v>
      </c>
      <c r="H231" s="27">
        <v>0</v>
      </c>
      <c r="I231" s="29">
        <v>1293.23</v>
      </c>
      <c r="J231" s="29">
        <v>899.12</v>
      </c>
      <c r="K231" s="29">
        <v>394.11</v>
      </c>
      <c r="L231" s="27">
        <f>(Table2[[#This Row],[Profit]]/Table2[[#This Row],[Revenue]])</f>
        <v>0.30474857527276666</v>
      </c>
    </row>
    <row r="232" spans="1:12" x14ac:dyDescent="0.3">
      <c r="A232" s="25" t="s">
        <v>256</v>
      </c>
      <c r="B232" s="26">
        <v>45972</v>
      </c>
      <c r="C232" s="25" t="s">
        <v>21</v>
      </c>
      <c r="D232" s="25" t="s">
        <v>13</v>
      </c>
      <c r="E232" s="25" t="s">
        <v>18</v>
      </c>
      <c r="F232" s="25">
        <v>8</v>
      </c>
      <c r="G232" s="29">
        <v>183.49</v>
      </c>
      <c r="H232" s="27">
        <v>0.15</v>
      </c>
      <c r="I232" s="29">
        <v>1247.72</v>
      </c>
      <c r="J232" s="29">
        <v>802.31</v>
      </c>
      <c r="K232" s="29">
        <v>445.41</v>
      </c>
      <c r="L232" s="27">
        <f>(Table2[[#This Row],[Profit]]/Table2[[#This Row],[Revenue]])</f>
        <v>0.3569791299329978</v>
      </c>
    </row>
    <row r="233" spans="1:12" x14ac:dyDescent="0.3">
      <c r="A233" s="25" t="s">
        <v>257</v>
      </c>
      <c r="B233" s="26">
        <v>45739</v>
      </c>
      <c r="C233" s="25" t="s">
        <v>16</v>
      </c>
      <c r="D233" s="25" t="s">
        <v>33</v>
      </c>
      <c r="E233" s="25" t="s">
        <v>34</v>
      </c>
      <c r="F233" s="25">
        <v>9</v>
      </c>
      <c r="G233" s="29">
        <v>486.9</v>
      </c>
      <c r="H233" s="27">
        <v>0.15</v>
      </c>
      <c r="I233" s="29">
        <v>3724.8</v>
      </c>
      <c r="J233" s="29">
        <v>1721.76</v>
      </c>
      <c r="K233" s="29">
        <v>2003.05</v>
      </c>
      <c r="L233" s="27">
        <f>(Table2[[#This Row],[Profit]]/Table2[[#This Row],[Revenue]])</f>
        <v>0.53776041666666663</v>
      </c>
    </row>
    <row r="234" spans="1:12" x14ac:dyDescent="0.3">
      <c r="A234" s="25" t="s">
        <v>258</v>
      </c>
      <c r="B234" s="26">
        <v>45698</v>
      </c>
      <c r="C234" s="25" t="s">
        <v>16</v>
      </c>
      <c r="D234" s="25" t="s">
        <v>13</v>
      </c>
      <c r="E234" s="25" t="s">
        <v>24</v>
      </c>
      <c r="F234" s="25">
        <v>9</v>
      </c>
      <c r="G234" s="29">
        <v>734.16</v>
      </c>
      <c r="H234" s="27">
        <v>0.15</v>
      </c>
      <c r="I234" s="29">
        <v>5616.31</v>
      </c>
      <c r="J234" s="29">
        <v>4061.38</v>
      </c>
      <c r="K234" s="29">
        <v>1554.93</v>
      </c>
      <c r="L234" s="27">
        <f>(Table2[[#This Row],[Profit]]/Table2[[#This Row],[Revenue]])</f>
        <v>0.27685971750134875</v>
      </c>
    </row>
    <row r="235" spans="1:12" x14ac:dyDescent="0.3">
      <c r="A235" s="25" t="s">
        <v>259</v>
      </c>
      <c r="B235" s="26">
        <v>45922</v>
      </c>
      <c r="C235" s="25" t="s">
        <v>16</v>
      </c>
      <c r="D235" s="25" t="s">
        <v>33</v>
      </c>
      <c r="E235" s="25" t="s">
        <v>26</v>
      </c>
      <c r="F235" s="25">
        <v>6</v>
      </c>
      <c r="G235" s="29">
        <v>248.41</v>
      </c>
      <c r="H235" s="27">
        <v>0.05</v>
      </c>
      <c r="I235" s="29">
        <v>1415.93</v>
      </c>
      <c r="J235" s="29">
        <v>1012.49</v>
      </c>
      <c r="K235" s="29">
        <v>403.45</v>
      </c>
      <c r="L235" s="27">
        <f>(Table2[[#This Row],[Profit]]/Table2[[#This Row],[Revenue]])</f>
        <v>0.28493640222327371</v>
      </c>
    </row>
    <row r="236" spans="1:12" x14ac:dyDescent="0.3">
      <c r="A236" s="25" t="s">
        <v>260</v>
      </c>
      <c r="B236" s="26">
        <v>45901</v>
      </c>
      <c r="C236" s="25" t="s">
        <v>16</v>
      </c>
      <c r="D236" s="25" t="s">
        <v>33</v>
      </c>
      <c r="E236" s="25" t="s">
        <v>22</v>
      </c>
      <c r="F236" s="25">
        <v>11</v>
      </c>
      <c r="G236" s="29">
        <v>595.21</v>
      </c>
      <c r="H236" s="27">
        <v>0</v>
      </c>
      <c r="I236" s="29">
        <v>6547.33</v>
      </c>
      <c r="J236" s="29">
        <v>3760.66</v>
      </c>
      <c r="K236" s="29">
        <v>2786.67</v>
      </c>
      <c r="L236" s="27">
        <f>(Table2[[#This Row],[Profit]]/Table2[[#This Row],[Revenue]])</f>
        <v>0.42561929824829359</v>
      </c>
    </row>
    <row r="237" spans="1:12" x14ac:dyDescent="0.3">
      <c r="A237" s="25" t="s">
        <v>261</v>
      </c>
      <c r="B237" s="26">
        <v>45675</v>
      </c>
      <c r="C237" s="25" t="s">
        <v>28</v>
      </c>
      <c r="D237" s="25" t="s">
        <v>17</v>
      </c>
      <c r="E237" s="25" t="s">
        <v>14</v>
      </c>
      <c r="F237" s="25">
        <v>3</v>
      </c>
      <c r="G237" s="29">
        <v>57.93</v>
      </c>
      <c r="H237" s="27">
        <v>0.05</v>
      </c>
      <c r="I237" s="29">
        <v>165.09</v>
      </c>
      <c r="J237" s="29">
        <v>128.19999999999999</v>
      </c>
      <c r="K237" s="29">
        <v>36.880000000000003</v>
      </c>
      <c r="L237" s="27">
        <f>(Table2[[#This Row],[Profit]]/Table2[[#This Row],[Revenue]])</f>
        <v>0.22339330062390211</v>
      </c>
    </row>
    <row r="238" spans="1:12" x14ac:dyDescent="0.3">
      <c r="A238" s="25" t="s">
        <v>262</v>
      </c>
      <c r="B238" s="26">
        <v>45760</v>
      </c>
      <c r="C238" s="25" t="s">
        <v>21</v>
      </c>
      <c r="D238" s="25" t="s">
        <v>17</v>
      </c>
      <c r="E238" s="25" t="s">
        <v>31</v>
      </c>
      <c r="F238" s="25">
        <v>8</v>
      </c>
      <c r="G238" s="29">
        <v>592.72</v>
      </c>
      <c r="H238" s="27">
        <v>0.05</v>
      </c>
      <c r="I238" s="29">
        <v>4504.67</v>
      </c>
      <c r="J238" s="29">
        <v>2171.27</v>
      </c>
      <c r="K238" s="29">
        <v>2333.4</v>
      </c>
      <c r="L238" s="27">
        <f>(Table2[[#This Row],[Profit]]/Table2[[#This Row],[Revenue]])</f>
        <v>0.51799576883545295</v>
      </c>
    </row>
    <row r="239" spans="1:12" x14ac:dyDescent="0.3">
      <c r="A239" s="25" t="s">
        <v>263</v>
      </c>
      <c r="B239" s="26">
        <v>46000</v>
      </c>
      <c r="C239" s="25" t="s">
        <v>16</v>
      </c>
      <c r="D239" s="25" t="s">
        <v>17</v>
      </c>
      <c r="E239" s="25" t="s">
        <v>34</v>
      </c>
      <c r="F239" s="25">
        <v>4</v>
      </c>
      <c r="G239" s="29">
        <v>333.5</v>
      </c>
      <c r="H239" s="27">
        <v>0.1</v>
      </c>
      <c r="I239" s="29">
        <v>1200.6199999999999</v>
      </c>
      <c r="J239" s="29">
        <v>758.53</v>
      </c>
      <c r="K239" s="29">
        <v>442.09</v>
      </c>
      <c r="L239" s="27">
        <f>(Table2[[#This Row],[Profit]]/Table2[[#This Row],[Revenue]])</f>
        <v>0.36821808732155054</v>
      </c>
    </row>
    <row r="240" spans="1:12" x14ac:dyDescent="0.3">
      <c r="A240" s="25" t="s">
        <v>264</v>
      </c>
      <c r="B240" s="26">
        <v>45939</v>
      </c>
      <c r="C240" s="25" t="s">
        <v>28</v>
      </c>
      <c r="D240" s="25" t="s">
        <v>17</v>
      </c>
      <c r="E240" s="25" t="s">
        <v>29</v>
      </c>
      <c r="F240" s="25">
        <v>2</v>
      </c>
      <c r="G240" s="29">
        <v>610.98</v>
      </c>
      <c r="H240" s="27">
        <v>0.2</v>
      </c>
      <c r="I240" s="29">
        <v>977.57</v>
      </c>
      <c r="J240" s="29">
        <v>516.79</v>
      </c>
      <c r="K240" s="29">
        <v>460.77</v>
      </c>
      <c r="L240" s="27">
        <f>(Table2[[#This Row],[Profit]]/Table2[[#This Row],[Revenue]])</f>
        <v>0.47134220567325097</v>
      </c>
    </row>
    <row r="241" spans="1:12" x14ac:dyDescent="0.3">
      <c r="A241" s="25" t="s">
        <v>265</v>
      </c>
      <c r="B241" s="26">
        <v>45674</v>
      </c>
      <c r="C241" s="25" t="s">
        <v>21</v>
      </c>
      <c r="D241" s="25" t="s">
        <v>17</v>
      </c>
      <c r="E241" s="25" t="s">
        <v>29</v>
      </c>
      <c r="F241" s="25">
        <v>8</v>
      </c>
      <c r="G241" s="29">
        <v>844.89</v>
      </c>
      <c r="H241" s="27">
        <v>0.1</v>
      </c>
      <c r="I241" s="29">
        <v>6083.21</v>
      </c>
      <c r="J241" s="29">
        <v>2874.16</v>
      </c>
      <c r="K241" s="29">
        <v>3209.05</v>
      </c>
      <c r="L241" s="27">
        <f>(Table2[[#This Row],[Profit]]/Table2[[#This Row],[Revenue]])</f>
        <v>0.52752576353602787</v>
      </c>
    </row>
    <row r="242" spans="1:12" x14ac:dyDescent="0.3">
      <c r="A242" s="25" t="s">
        <v>266</v>
      </c>
      <c r="B242" s="26">
        <v>45682</v>
      </c>
      <c r="C242" s="25" t="s">
        <v>28</v>
      </c>
      <c r="D242" s="25" t="s">
        <v>17</v>
      </c>
      <c r="E242" s="25" t="s">
        <v>31</v>
      </c>
      <c r="F242" s="25">
        <v>11</v>
      </c>
      <c r="G242" s="29">
        <v>652.41</v>
      </c>
      <c r="H242" s="27">
        <v>0.1</v>
      </c>
      <c r="I242" s="29">
        <v>6458.85</v>
      </c>
      <c r="J242" s="29">
        <v>4468.78</v>
      </c>
      <c r="K242" s="29">
        <v>1990.07</v>
      </c>
      <c r="L242" s="27">
        <f>(Table2[[#This Row],[Profit]]/Table2[[#This Row],[Revenue]])</f>
        <v>0.30811522175000189</v>
      </c>
    </row>
    <row r="243" spans="1:12" x14ac:dyDescent="0.3">
      <c r="A243" s="25" t="s">
        <v>267</v>
      </c>
      <c r="B243" s="26">
        <v>45865</v>
      </c>
      <c r="C243" s="25" t="s">
        <v>28</v>
      </c>
      <c r="D243" s="25" t="s">
        <v>13</v>
      </c>
      <c r="E243" s="25" t="s">
        <v>26</v>
      </c>
      <c r="F243" s="25">
        <v>2</v>
      </c>
      <c r="G243" s="29">
        <v>201.26</v>
      </c>
      <c r="H243" s="27">
        <v>0.15</v>
      </c>
      <c r="I243" s="29">
        <v>342.14</v>
      </c>
      <c r="J243" s="29">
        <v>268.25</v>
      </c>
      <c r="K243" s="29">
        <v>73.89</v>
      </c>
      <c r="L243" s="27">
        <f>(Table2[[#This Row],[Profit]]/Table2[[#This Row],[Revenue]])</f>
        <v>0.21596422517098265</v>
      </c>
    </row>
    <row r="244" spans="1:12" x14ac:dyDescent="0.3">
      <c r="A244" s="25" t="s">
        <v>268</v>
      </c>
      <c r="B244" s="26">
        <v>45798</v>
      </c>
      <c r="C244" s="25" t="s">
        <v>16</v>
      </c>
      <c r="D244" s="25" t="s">
        <v>33</v>
      </c>
      <c r="E244" s="25" t="s">
        <v>18</v>
      </c>
      <c r="F244" s="25">
        <v>5</v>
      </c>
      <c r="G244" s="29">
        <v>715.85</v>
      </c>
      <c r="H244" s="27">
        <v>0.1</v>
      </c>
      <c r="I244" s="29">
        <v>3221.34</v>
      </c>
      <c r="J244" s="29">
        <v>2227.4</v>
      </c>
      <c r="K244" s="29">
        <v>993.94</v>
      </c>
      <c r="L244" s="27">
        <f>(Table2[[#This Row],[Profit]]/Table2[[#This Row],[Revenue]])</f>
        <v>0.30854861641428721</v>
      </c>
    </row>
    <row r="245" spans="1:12" x14ac:dyDescent="0.3">
      <c r="A245" s="25" t="s">
        <v>269</v>
      </c>
      <c r="B245" s="26">
        <v>45905</v>
      </c>
      <c r="C245" s="25" t="s">
        <v>16</v>
      </c>
      <c r="D245" s="25" t="s">
        <v>13</v>
      </c>
      <c r="E245" s="25" t="s">
        <v>26</v>
      </c>
      <c r="F245" s="25">
        <v>10</v>
      </c>
      <c r="G245" s="29">
        <v>515.72</v>
      </c>
      <c r="H245" s="27">
        <v>0.05</v>
      </c>
      <c r="I245" s="29">
        <v>4899.3500000000004</v>
      </c>
      <c r="J245" s="29">
        <v>2218.0100000000002</v>
      </c>
      <c r="K245" s="29">
        <v>2681.33</v>
      </c>
      <c r="L245" s="27">
        <f>(Table2[[#This Row],[Profit]]/Table2[[#This Row],[Revenue]])</f>
        <v>0.54728280282078234</v>
      </c>
    </row>
    <row r="246" spans="1:12" x14ac:dyDescent="0.3">
      <c r="A246" s="25" t="s">
        <v>270</v>
      </c>
      <c r="B246" s="26">
        <v>45662</v>
      </c>
      <c r="C246" s="25" t="s">
        <v>28</v>
      </c>
      <c r="D246" s="25" t="s">
        <v>33</v>
      </c>
      <c r="E246" s="25" t="s">
        <v>14</v>
      </c>
      <c r="F246" s="25">
        <v>5</v>
      </c>
      <c r="G246" s="29">
        <v>735.14</v>
      </c>
      <c r="H246" s="27">
        <v>0</v>
      </c>
      <c r="I246" s="29">
        <v>3675.69</v>
      </c>
      <c r="J246" s="29">
        <v>2503.62</v>
      </c>
      <c r="K246" s="29">
        <v>1172.07</v>
      </c>
      <c r="L246" s="27">
        <f>(Table2[[#This Row],[Profit]]/Table2[[#This Row],[Revenue]])</f>
        <v>0.31887074263607645</v>
      </c>
    </row>
    <row r="247" spans="1:12" x14ac:dyDescent="0.3">
      <c r="A247" s="25" t="s">
        <v>271</v>
      </c>
      <c r="B247" s="26">
        <v>45944</v>
      </c>
      <c r="C247" s="25" t="s">
        <v>21</v>
      </c>
      <c r="D247" s="25" t="s">
        <v>33</v>
      </c>
      <c r="E247" s="25" t="s">
        <v>14</v>
      </c>
      <c r="F247" s="25">
        <v>7</v>
      </c>
      <c r="G247" s="29">
        <v>745.73</v>
      </c>
      <c r="H247" s="27">
        <v>0</v>
      </c>
      <c r="I247" s="29">
        <v>5220.1400000000003</v>
      </c>
      <c r="J247" s="29">
        <v>3583.78</v>
      </c>
      <c r="K247" s="29">
        <v>1636.36</v>
      </c>
      <c r="L247" s="27">
        <f>(Table2[[#This Row],[Profit]]/Table2[[#This Row],[Revenue]])</f>
        <v>0.31347051994774083</v>
      </c>
    </row>
    <row r="248" spans="1:12" x14ac:dyDescent="0.3">
      <c r="A248" s="25" t="s">
        <v>272</v>
      </c>
      <c r="B248" s="26">
        <v>45689</v>
      </c>
      <c r="C248" s="25" t="s">
        <v>28</v>
      </c>
      <c r="D248" s="25" t="s">
        <v>33</v>
      </c>
      <c r="E248" s="25" t="s">
        <v>34</v>
      </c>
      <c r="F248" s="25">
        <v>2</v>
      </c>
      <c r="G248" s="29">
        <v>551.41999999999996</v>
      </c>
      <c r="H248" s="27">
        <v>0.05</v>
      </c>
      <c r="I248" s="29">
        <v>1047.7</v>
      </c>
      <c r="J248" s="29">
        <v>659.2</v>
      </c>
      <c r="K248" s="29">
        <v>388.51</v>
      </c>
      <c r="L248" s="27">
        <f>(Table2[[#This Row],[Profit]]/Table2[[#This Row],[Revenue]])</f>
        <v>0.37082180013362603</v>
      </c>
    </row>
    <row r="249" spans="1:12" x14ac:dyDescent="0.3">
      <c r="A249" s="25" t="s">
        <v>273</v>
      </c>
      <c r="B249" s="26">
        <v>45686</v>
      </c>
      <c r="C249" s="25" t="s">
        <v>21</v>
      </c>
      <c r="D249" s="25" t="s">
        <v>17</v>
      </c>
      <c r="E249" s="25" t="s">
        <v>26</v>
      </c>
      <c r="F249" s="25">
        <v>5</v>
      </c>
      <c r="G249" s="29">
        <v>559.91</v>
      </c>
      <c r="H249" s="27">
        <v>0.05</v>
      </c>
      <c r="I249" s="29">
        <v>2659.59</v>
      </c>
      <c r="J249" s="29">
        <v>1747.52</v>
      </c>
      <c r="K249" s="29">
        <v>912.07</v>
      </c>
      <c r="L249" s="27">
        <f>(Table2[[#This Row],[Profit]]/Table2[[#This Row],[Revenue]])</f>
        <v>0.34293631725190726</v>
      </c>
    </row>
    <row r="250" spans="1:12" x14ac:dyDescent="0.3">
      <c r="A250" s="25" t="s">
        <v>274</v>
      </c>
      <c r="B250" s="26">
        <v>45903</v>
      </c>
      <c r="C250" s="25" t="s">
        <v>16</v>
      </c>
      <c r="D250" s="25" t="s">
        <v>33</v>
      </c>
      <c r="E250" s="25" t="s">
        <v>34</v>
      </c>
      <c r="F250" s="25">
        <v>5</v>
      </c>
      <c r="G250" s="29">
        <v>487.17</v>
      </c>
      <c r="H250" s="27">
        <v>0.05</v>
      </c>
      <c r="I250" s="29">
        <v>2314.04</v>
      </c>
      <c r="J250" s="29">
        <v>1538.64</v>
      </c>
      <c r="K250" s="29">
        <v>775.4</v>
      </c>
      <c r="L250" s="27">
        <f>(Table2[[#This Row],[Profit]]/Table2[[#This Row],[Revenue]])</f>
        <v>0.33508495963768992</v>
      </c>
    </row>
    <row r="251" spans="1:12" x14ac:dyDescent="0.3">
      <c r="A251" s="25" t="s">
        <v>275</v>
      </c>
      <c r="B251" s="26">
        <v>45971</v>
      </c>
      <c r="C251" s="25" t="s">
        <v>21</v>
      </c>
      <c r="D251" s="25" t="s">
        <v>17</v>
      </c>
      <c r="E251" s="25" t="s">
        <v>18</v>
      </c>
      <c r="F251" s="25">
        <v>10</v>
      </c>
      <c r="G251" s="29">
        <v>232.75</v>
      </c>
      <c r="H251" s="27">
        <v>0.1</v>
      </c>
      <c r="I251" s="29">
        <v>2094.79</v>
      </c>
      <c r="J251" s="29">
        <v>1592.5</v>
      </c>
      <c r="K251" s="29">
        <v>502.29</v>
      </c>
      <c r="L251" s="27">
        <f>(Table2[[#This Row],[Profit]]/Table2[[#This Row],[Revenue]])</f>
        <v>0.23978059853254982</v>
      </c>
    </row>
    <row r="252" spans="1:12" x14ac:dyDescent="0.3">
      <c r="A252" s="25" t="s">
        <v>276</v>
      </c>
      <c r="B252" s="26">
        <v>45945</v>
      </c>
      <c r="C252" s="25" t="s">
        <v>12</v>
      </c>
      <c r="D252" s="25" t="s">
        <v>33</v>
      </c>
      <c r="E252" s="25" t="s">
        <v>22</v>
      </c>
      <c r="F252" s="25">
        <v>1</v>
      </c>
      <c r="G252" s="29">
        <v>44.75</v>
      </c>
      <c r="H252" s="27">
        <v>0</v>
      </c>
      <c r="I252" s="29">
        <v>44.75</v>
      </c>
      <c r="J252" s="29">
        <v>29.07</v>
      </c>
      <c r="K252" s="29">
        <v>15.68</v>
      </c>
      <c r="L252" s="27">
        <f>(Table2[[#This Row],[Profit]]/Table2[[#This Row],[Revenue]])</f>
        <v>0.35039106145251397</v>
      </c>
    </row>
    <row r="253" spans="1:12" x14ac:dyDescent="0.3">
      <c r="A253" s="25" t="s">
        <v>277</v>
      </c>
      <c r="B253" s="26">
        <v>45831</v>
      </c>
      <c r="C253" s="25" t="s">
        <v>16</v>
      </c>
      <c r="D253" s="25" t="s">
        <v>33</v>
      </c>
      <c r="E253" s="25" t="s">
        <v>24</v>
      </c>
      <c r="F253" s="25">
        <v>8</v>
      </c>
      <c r="G253" s="29">
        <v>465.42</v>
      </c>
      <c r="H253" s="27">
        <v>0.05</v>
      </c>
      <c r="I253" s="29">
        <v>3537.16</v>
      </c>
      <c r="J253" s="29">
        <v>1948.43</v>
      </c>
      <c r="K253" s="29">
        <v>1588.73</v>
      </c>
      <c r="L253" s="27">
        <f>(Table2[[#This Row],[Profit]]/Table2[[#This Row],[Revenue]])</f>
        <v>0.44915412364721985</v>
      </c>
    </row>
    <row r="254" spans="1:12" x14ac:dyDescent="0.3">
      <c r="A254" s="25" t="s">
        <v>278</v>
      </c>
      <c r="B254" s="26">
        <v>45717</v>
      </c>
      <c r="C254" s="25" t="s">
        <v>21</v>
      </c>
      <c r="D254" s="25" t="s">
        <v>13</v>
      </c>
      <c r="E254" s="25" t="s">
        <v>24</v>
      </c>
      <c r="F254" s="25">
        <v>9</v>
      </c>
      <c r="G254" s="29">
        <v>470.63</v>
      </c>
      <c r="H254" s="27">
        <v>0</v>
      </c>
      <c r="I254" s="29">
        <v>4235.68</v>
      </c>
      <c r="J254" s="29">
        <v>2988.89</v>
      </c>
      <c r="K254" s="29">
        <v>1246.79</v>
      </c>
      <c r="L254" s="27">
        <f>(Table2[[#This Row],[Profit]]/Table2[[#This Row],[Revenue]])</f>
        <v>0.29435415328825593</v>
      </c>
    </row>
    <row r="255" spans="1:12" x14ac:dyDescent="0.3">
      <c r="A255" s="25" t="s">
        <v>279</v>
      </c>
      <c r="B255" s="26">
        <v>45735</v>
      </c>
      <c r="C255" s="25" t="s">
        <v>12</v>
      </c>
      <c r="D255" s="25" t="s">
        <v>13</v>
      </c>
      <c r="E255" s="25" t="s">
        <v>22</v>
      </c>
      <c r="F255" s="25">
        <v>2</v>
      </c>
      <c r="G255" s="29">
        <v>391.77</v>
      </c>
      <c r="H255" s="27">
        <v>0.2</v>
      </c>
      <c r="I255" s="29">
        <v>626.83000000000004</v>
      </c>
      <c r="J255" s="29">
        <v>453.3</v>
      </c>
      <c r="K255" s="29">
        <v>173.52</v>
      </c>
      <c r="L255" s="27">
        <f>(Table2[[#This Row],[Profit]]/Table2[[#This Row],[Revenue]])</f>
        <v>0.27682146674536956</v>
      </c>
    </row>
    <row r="256" spans="1:12" x14ac:dyDescent="0.3">
      <c r="A256" s="25" t="s">
        <v>280</v>
      </c>
      <c r="B256" s="26">
        <v>45933</v>
      </c>
      <c r="C256" s="25" t="s">
        <v>12</v>
      </c>
      <c r="D256" s="25" t="s">
        <v>33</v>
      </c>
      <c r="E256" s="25" t="s">
        <v>18</v>
      </c>
      <c r="F256" s="25">
        <v>9</v>
      </c>
      <c r="G256" s="29">
        <v>806.67</v>
      </c>
      <c r="H256" s="27">
        <v>0.2</v>
      </c>
      <c r="I256" s="29">
        <v>5808.06</v>
      </c>
      <c r="J256" s="29">
        <v>4411.3100000000004</v>
      </c>
      <c r="K256" s="29">
        <v>1396.75</v>
      </c>
      <c r="L256" s="27">
        <f>(Table2[[#This Row],[Profit]]/Table2[[#This Row],[Revenue]])</f>
        <v>0.24048477460632292</v>
      </c>
    </row>
    <row r="257" spans="1:12" x14ac:dyDescent="0.3">
      <c r="A257" s="25" t="s">
        <v>281</v>
      </c>
      <c r="B257" s="26">
        <v>45974</v>
      </c>
      <c r="C257" s="25" t="s">
        <v>21</v>
      </c>
      <c r="D257" s="25" t="s">
        <v>17</v>
      </c>
      <c r="E257" s="25" t="s">
        <v>34</v>
      </c>
      <c r="F257" s="25">
        <v>2</v>
      </c>
      <c r="G257" s="29">
        <v>118.88</v>
      </c>
      <c r="H257" s="27">
        <v>0.05</v>
      </c>
      <c r="I257" s="29">
        <v>225.88</v>
      </c>
      <c r="J257" s="29">
        <v>179.55</v>
      </c>
      <c r="K257" s="29">
        <v>46.33</v>
      </c>
      <c r="L257" s="27">
        <f>(Table2[[#This Row],[Profit]]/Table2[[#This Row],[Revenue]])</f>
        <v>0.20510890738445192</v>
      </c>
    </row>
    <row r="258" spans="1:12" x14ac:dyDescent="0.3">
      <c r="A258" s="25" t="s">
        <v>282</v>
      </c>
      <c r="B258" s="26">
        <v>45706</v>
      </c>
      <c r="C258" s="25" t="s">
        <v>12</v>
      </c>
      <c r="D258" s="25" t="s">
        <v>33</v>
      </c>
      <c r="E258" s="25" t="s">
        <v>18</v>
      </c>
      <c r="F258" s="25">
        <v>3</v>
      </c>
      <c r="G258" s="29">
        <v>844.55</v>
      </c>
      <c r="H258" s="27">
        <v>0.1</v>
      </c>
      <c r="I258" s="29">
        <v>2280.29</v>
      </c>
      <c r="J258" s="29">
        <v>1779.81</v>
      </c>
      <c r="K258" s="29">
        <v>500.48</v>
      </c>
      <c r="L258" s="27">
        <f>(Table2[[#This Row],[Profit]]/Table2[[#This Row],[Revenue]])</f>
        <v>0.21948085550522084</v>
      </c>
    </row>
    <row r="259" spans="1:12" x14ac:dyDescent="0.3">
      <c r="A259" s="25" t="s">
        <v>283</v>
      </c>
      <c r="B259" s="26">
        <v>45840</v>
      </c>
      <c r="C259" s="25" t="s">
        <v>12</v>
      </c>
      <c r="D259" s="25" t="s">
        <v>33</v>
      </c>
      <c r="E259" s="25" t="s">
        <v>29</v>
      </c>
      <c r="F259" s="25">
        <v>1</v>
      </c>
      <c r="G259" s="29">
        <v>339.71</v>
      </c>
      <c r="H259" s="27">
        <v>0.05</v>
      </c>
      <c r="I259" s="29">
        <v>322.72000000000003</v>
      </c>
      <c r="J259" s="29">
        <v>167.73</v>
      </c>
      <c r="K259" s="29">
        <v>154.99</v>
      </c>
      <c r="L259" s="27">
        <f>(Table2[[#This Row],[Profit]]/Table2[[#This Row],[Revenue]])</f>
        <v>0.48026152702032721</v>
      </c>
    </row>
    <row r="260" spans="1:12" x14ac:dyDescent="0.3">
      <c r="A260" s="25" t="s">
        <v>284</v>
      </c>
      <c r="B260" s="26">
        <v>45710</v>
      </c>
      <c r="C260" s="25" t="s">
        <v>12</v>
      </c>
      <c r="D260" s="25" t="s">
        <v>13</v>
      </c>
      <c r="E260" s="25" t="s">
        <v>14</v>
      </c>
      <c r="F260" s="25">
        <v>4</v>
      </c>
      <c r="G260" s="29">
        <v>165.75</v>
      </c>
      <c r="H260" s="27">
        <v>0.1</v>
      </c>
      <c r="I260" s="29">
        <v>596.69000000000005</v>
      </c>
      <c r="J260" s="29">
        <v>398.94</v>
      </c>
      <c r="K260" s="29">
        <v>197.76</v>
      </c>
      <c r="L260" s="27">
        <f>(Table2[[#This Row],[Profit]]/Table2[[#This Row],[Revenue]])</f>
        <v>0.33142837989575824</v>
      </c>
    </row>
    <row r="261" spans="1:12" x14ac:dyDescent="0.3">
      <c r="A261" s="25" t="s">
        <v>285</v>
      </c>
      <c r="B261" s="26">
        <v>45690</v>
      </c>
      <c r="C261" s="25" t="s">
        <v>21</v>
      </c>
      <c r="D261" s="25" t="s">
        <v>17</v>
      </c>
      <c r="E261" s="25" t="s">
        <v>14</v>
      </c>
      <c r="F261" s="25">
        <v>3</v>
      </c>
      <c r="G261" s="29">
        <v>769.44</v>
      </c>
      <c r="H261" s="27">
        <v>0</v>
      </c>
      <c r="I261" s="29">
        <v>2308.33</v>
      </c>
      <c r="J261" s="29">
        <v>1763.46</v>
      </c>
      <c r="K261" s="29">
        <v>544.86</v>
      </c>
      <c r="L261" s="27">
        <f>(Table2[[#This Row],[Profit]]/Table2[[#This Row],[Revenue]])</f>
        <v>0.23604077406609975</v>
      </c>
    </row>
    <row r="262" spans="1:12" x14ac:dyDescent="0.3">
      <c r="A262" s="25" t="s">
        <v>286</v>
      </c>
      <c r="B262" s="26">
        <v>45697</v>
      </c>
      <c r="C262" s="25" t="s">
        <v>21</v>
      </c>
      <c r="D262" s="25" t="s">
        <v>17</v>
      </c>
      <c r="E262" s="25" t="s">
        <v>29</v>
      </c>
      <c r="F262" s="25">
        <v>11</v>
      </c>
      <c r="G262" s="29">
        <v>395.87</v>
      </c>
      <c r="H262" s="27">
        <v>0.1</v>
      </c>
      <c r="I262" s="29">
        <v>3919.14</v>
      </c>
      <c r="J262" s="29">
        <v>2874.25</v>
      </c>
      <c r="K262" s="29">
        <v>1044.8800000000001</v>
      </c>
      <c r="L262" s="27">
        <f>(Table2[[#This Row],[Profit]]/Table2[[#This Row],[Revenue]])</f>
        <v>0.26660951127032972</v>
      </c>
    </row>
    <row r="263" spans="1:12" x14ac:dyDescent="0.3">
      <c r="A263" s="25" t="s">
        <v>287</v>
      </c>
      <c r="B263" s="26">
        <v>45690</v>
      </c>
      <c r="C263" s="25" t="s">
        <v>28</v>
      </c>
      <c r="D263" s="25" t="s">
        <v>33</v>
      </c>
      <c r="E263" s="25" t="s">
        <v>22</v>
      </c>
      <c r="F263" s="25">
        <v>3</v>
      </c>
      <c r="G263" s="29">
        <v>709.78</v>
      </c>
      <c r="H263" s="27">
        <v>0.05</v>
      </c>
      <c r="I263" s="29">
        <v>2022.88</v>
      </c>
      <c r="J263" s="29">
        <v>1344.86</v>
      </c>
      <c r="K263" s="29">
        <v>678.01</v>
      </c>
      <c r="L263" s="27">
        <f>(Table2[[#This Row],[Profit]]/Table2[[#This Row],[Revenue]])</f>
        <v>0.33517064778929051</v>
      </c>
    </row>
    <row r="264" spans="1:12" x14ac:dyDescent="0.3">
      <c r="A264" s="25" t="s">
        <v>288</v>
      </c>
      <c r="B264" s="26">
        <v>45737</v>
      </c>
      <c r="C264" s="25" t="s">
        <v>21</v>
      </c>
      <c r="D264" s="25" t="s">
        <v>33</v>
      </c>
      <c r="E264" s="25" t="s">
        <v>22</v>
      </c>
      <c r="F264" s="25">
        <v>7</v>
      </c>
      <c r="G264" s="29">
        <v>339.91</v>
      </c>
      <c r="H264" s="27">
        <v>0</v>
      </c>
      <c r="I264" s="29">
        <v>2379.39</v>
      </c>
      <c r="J264" s="29">
        <v>1213.99</v>
      </c>
      <c r="K264" s="29">
        <v>1165.4000000000001</v>
      </c>
      <c r="L264" s="27">
        <f>(Table2[[#This Row],[Profit]]/Table2[[#This Row],[Revenue]])</f>
        <v>0.48978939980415154</v>
      </c>
    </row>
    <row r="265" spans="1:12" x14ac:dyDescent="0.3">
      <c r="A265" s="25" t="s">
        <v>289</v>
      </c>
      <c r="B265" s="26">
        <v>46008</v>
      </c>
      <c r="C265" s="25" t="s">
        <v>16</v>
      </c>
      <c r="D265" s="25" t="s">
        <v>33</v>
      </c>
      <c r="E265" s="25" t="s">
        <v>14</v>
      </c>
      <c r="F265" s="25">
        <v>2</v>
      </c>
      <c r="G265" s="29">
        <v>820.98</v>
      </c>
      <c r="H265" s="27">
        <v>0.1</v>
      </c>
      <c r="I265" s="29">
        <v>1477.77</v>
      </c>
      <c r="J265" s="29">
        <v>965.52</v>
      </c>
      <c r="K265" s="29">
        <v>512.26</v>
      </c>
      <c r="L265" s="27">
        <f>(Table2[[#This Row],[Profit]]/Table2[[#This Row],[Revenue]])</f>
        <v>0.34664392970489316</v>
      </c>
    </row>
    <row r="266" spans="1:12" x14ac:dyDescent="0.3">
      <c r="A266" s="25" t="s">
        <v>290</v>
      </c>
      <c r="B266" s="26">
        <v>45970</v>
      </c>
      <c r="C266" s="25" t="s">
        <v>21</v>
      </c>
      <c r="D266" s="25" t="s">
        <v>17</v>
      </c>
      <c r="E266" s="25" t="s">
        <v>31</v>
      </c>
      <c r="F266" s="25">
        <v>10</v>
      </c>
      <c r="G266" s="29">
        <v>750.48</v>
      </c>
      <c r="H266" s="27">
        <v>0</v>
      </c>
      <c r="I266" s="29">
        <v>7504.77</v>
      </c>
      <c r="J266" s="29">
        <v>5840.69</v>
      </c>
      <c r="K266" s="29">
        <v>1664.09</v>
      </c>
      <c r="L266" s="27">
        <f>(Table2[[#This Row],[Profit]]/Table2[[#This Row],[Revenue]])</f>
        <v>0.22173764152665568</v>
      </c>
    </row>
    <row r="267" spans="1:12" x14ac:dyDescent="0.3">
      <c r="A267" s="25" t="s">
        <v>291</v>
      </c>
      <c r="B267" s="26">
        <v>46011</v>
      </c>
      <c r="C267" s="25" t="s">
        <v>28</v>
      </c>
      <c r="D267" s="25" t="s">
        <v>13</v>
      </c>
      <c r="E267" s="25" t="s">
        <v>14</v>
      </c>
      <c r="F267" s="25">
        <v>11</v>
      </c>
      <c r="G267" s="29">
        <v>51.84</v>
      </c>
      <c r="H267" s="27">
        <v>0.15</v>
      </c>
      <c r="I267" s="29">
        <v>484.69</v>
      </c>
      <c r="J267" s="29">
        <v>266.45</v>
      </c>
      <c r="K267" s="29">
        <v>218.24</v>
      </c>
      <c r="L267" s="27">
        <f>(Table2[[#This Row],[Profit]]/Table2[[#This Row],[Revenue]])</f>
        <v>0.45026718108481711</v>
      </c>
    </row>
    <row r="268" spans="1:12" x14ac:dyDescent="0.3">
      <c r="A268" s="25" t="s">
        <v>292</v>
      </c>
      <c r="B268" s="26">
        <v>45767</v>
      </c>
      <c r="C268" s="25" t="s">
        <v>28</v>
      </c>
      <c r="D268" s="25" t="s">
        <v>13</v>
      </c>
      <c r="E268" s="25" t="s">
        <v>14</v>
      </c>
      <c r="F268" s="25">
        <v>9</v>
      </c>
      <c r="G268" s="29">
        <v>259.58999999999997</v>
      </c>
      <c r="H268" s="27">
        <v>0.1</v>
      </c>
      <c r="I268" s="29">
        <v>2102.71</v>
      </c>
      <c r="J268" s="29">
        <v>1626.83</v>
      </c>
      <c r="K268" s="29">
        <v>475.88</v>
      </c>
      <c r="L268" s="27">
        <f>(Table2[[#This Row],[Profit]]/Table2[[#This Row],[Revenue]])</f>
        <v>0.22631746650750698</v>
      </c>
    </row>
    <row r="269" spans="1:12" x14ac:dyDescent="0.3">
      <c r="A269" s="25" t="s">
        <v>293</v>
      </c>
      <c r="B269" s="26">
        <v>45796</v>
      </c>
      <c r="C269" s="25" t="s">
        <v>12</v>
      </c>
      <c r="D269" s="25" t="s">
        <v>33</v>
      </c>
      <c r="E269" s="25" t="s">
        <v>34</v>
      </c>
      <c r="F269" s="25">
        <v>1</v>
      </c>
      <c r="G269" s="29">
        <v>94.46</v>
      </c>
      <c r="H269" s="27">
        <v>0.15</v>
      </c>
      <c r="I269" s="29">
        <v>80.290000000000006</v>
      </c>
      <c r="J269" s="29">
        <v>52.86</v>
      </c>
      <c r="K269" s="29">
        <v>27.43</v>
      </c>
      <c r="L269" s="27">
        <f>(Table2[[#This Row],[Profit]]/Table2[[#This Row],[Revenue]])</f>
        <v>0.34163656744301901</v>
      </c>
    </row>
    <row r="270" spans="1:12" x14ac:dyDescent="0.3">
      <c r="A270" s="25" t="s">
        <v>294</v>
      </c>
      <c r="B270" s="26">
        <v>45662</v>
      </c>
      <c r="C270" s="25" t="s">
        <v>12</v>
      </c>
      <c r="D270" s="25" t="s">
        <v>13</v>
      </c>
      <c r="E270" s="25" t="s">
        <v>26</v>
      </c>
      <c r="F270" s="25">
        <v>11</v>
      </c>
      <c r="G270" s="29">
        <v>789.22</v>
      </c>
      <c r="H270" s="27">
        <v>0.1</v>
      </c>
      <c r="I270" s="29">
        <v>7813.27</v>
      </c>
      <c r="J270" s="29">
        <v>4633.82</v>
      </c>
      <c r="K270" s="29">
        <v>3179.45</v>
      </c>
      <c r="L270" s="27">
        <f>(Table2[[#This Row],[Profit]]/Table2[[#This Row],[Revenue]])</f>
        <v>0.40692949302916698</v>
      </c>
    </row>
    <row r="271" spans="1:12" x14ac:dyDescent="0.3">
      <c r="A271" s="25" t="s">
        <v>295</v>
      </c>
      <c r="B271" s="26">
        <v>45995</v>
      </c>
      <c r="C271" s="25" t="s">
        <v>12</v>
      </c>
      <c r="D271" s="25" t="s">
        <v>13</v>
      </c>
      <c r="E271" s="25" t="s">
        <v>34</v>
      </c>
      <c r="F271" s="25">
        <v>6</v>
      </c>
      <c r="G271" s="29">
        <v>624.71</v>
      </c>
      <c r="H271" s="27">
        <v>0</v>
      </c>
      <c r="I271" s="29">
        <v>3748.24</v>
      </c>
      <c r="J271" s="29">
        <v>1759.83</v>
      </c>
      <c r="K271" s="29">
        <v>1988.41</v>
      </c>
      <c r="L271" s="27">
        <f>(Table2[[#This Row],[Profit]]/Table2[[#This Row],[Revenue]])</f>
        <v>0.53049164407828742</v>
      </c>
    </row>
    <row r="272" spans="1:12" x14ac:dyDescent="0.3">
      <c r="A272" s="25" t="s">
        <v>296</v>
      </c>
      <c r="B272" s="26">
        <v>45860</v>
      </c>
      <c r="C272" s="25" t="s">
        <v>12</v>
      </c>
      <c r="D272" s="25" t="s">
        <v>33</v>
      </c>
      <c r="E272" s="25" t="s">
        <v>18</v>
      </c>
      <c r="F272" s="25">
        <v>7</v>
      </c>
      <c r="G272" s="29">
        <v>678.03</v>
      </c>
      <c r="H272" s="27">
        <v>0.05</v>
      </c>
      <c r="I272" s="29">
        <v>4508.8999999999996</v>
      </c>
      <c r="J272" s="29">
        <v>3520.21</v>
      </c>
      <c r="K272" s="29">
        <v>988.69</v>
      </c>
      <c r="L272" s="27">
        <f>(Table2[[#This Row],[Profit]]/Table2[[#This Row],[Revenue]])</f>
        <v>0.2192752112488634</v>
      </c>
    </row>
    <row r="273" spans="1:12" x14ac:dyDescent="0.3">
      <c r="A273" s="25" t="s">
        <v>297</v>
      </c>
      <c r="B273" s="26">
        <v>45723</v>
      </c>
      <c r="C273" s="25" t="s">
        <v>16</v>
      </c>
      <c r="D273" s="25" t="s">
        <v>33</v>
      </c>
      <c r="E273" s="25" t="s">
        <v>18</v>
      </c>
      <c r="F273" s="25">
        <v>2</v>
      </c>
      <c r="G273" s="29">
        <v>771.37</v>
      </c>
      <c r="H273" s="27">
        <v>0.15</v>
      </c>
      <c r="I273" s="29">
        <v>1311.34</v>
      </c>
      <c r="J273" s="29">
        <v>846.42</v>
      </c>
      <c r="K273" s="29">
        <v>464.91</v>
      </c>
      <c r="L273" s="27">
        <f>(Table2[[#This Row],[Profit]]/Table2[[#This Row],[Revenue]])</f>
        <v>0.35453048027208811</v>
      </c>
    </row>
    <row r="274" spans="1:12" x14ac:dyDescent="0.3">
      <c r="A274" s="25" t="s">
        <v>298</v>
      </c>
      <c r="B274" s="26">
        <v>45661</v>
      </c>
      <c r="C274" s="25" t="s">
        <v>16</v>
      </c>
      <c r="D274" s="25" t="s">
        <v>17</v>
      </c>
      <c r="E274" s="25" t="s">
        <v>14</v>
      </c>
      <c r="F274" s="25">
        <v>11</v>
      </c>
      <c r="G274" s="29">
        <v>840.96</v>
      </c>
      <c r="H274" s="27">
        <v>0.05</v>
      </c>
      <c r="I274" s="29">
        <v>8787.99</v>
      </c>
      <c r="J274" s="29">
        <v>4307.08</v>
      </c>
      <c r="K274" s="29">
        <v>4480.91</v>
      </c>
      <c r="L274" s="27">
        <f>(Table2[[#This Row],[Profit]]/Table2[[#This Row],[Revenue]])</f>
        <v>0.50989020242398997</v>
      </c>
    </row>
    <row r="275" spans="1:12" x14ac:dyDescent="0.3">
      <c r="A275" s="25" t="s">
        <v>299</v>
      </c>
      <c r="B275" s="26">
        <v>46006</v>
      </c>
      <c r="C275" s="25" t="s">
        <v>28</v>
      </c>
      <c r="D275" s="25" t="s">
        <v>33</v>
      </c>
      <c r="E275" s="25" t="s">
        <v>14</v>
      </c>
      <c r="F275" s="25">
        <v>11</v>
      </c>
      <c r="G275" s="29">
        <v>299.92</v>
      </c>
      <c r="H275" s="27">
        <v>0.15</v>
      </c>
      <c r="I275" s="29">
        <v>2804.26</v>
      </c>
      <c r="J275" s="29">
        <v>1263.3399999999999</v>
      </c>
      <c r="K275" s="29">
        <v>1540.92</v>
      </c>
      <c r="L275" s="27">
        <f>(Table2[[#This Row],[Profit]]/Table2[[#This Row],[Revenue]])</f>
        <v>0.54949255775142103</v>
      </c>
    </row>
    <row r="276" spans="1:12" x14ac:dyDescent="0.3">
      <c r="A276" s="25" t="s">
        <v>300</v>
      </c>
      <c r="B276" s="26">
        <v>45668</v>
      </c>
      <c r="C276" s="25" t="s">
        <v>21</v>
      </c>
      <c r="D276" s="25" t="s">
        <v>17</v>
      </c>
      <c r="E276" s="25" t="s">
        <v>29</v>
      </c>
      <c r="F276" s="25">
        <v>9</v>
      </c>
      <c r="G276" s="29">
        <v>558.32000000000005</v>
      </c>
      <c r="H276" s="27">
        <v>0.1</v>
      </c>
      <c r="I276" s="29">
        <v>4522.42</v>
      </c>
      <c r="J276" s="29">
        <v>2517.59</v>
      </c>
      <c r="K276" s="29">
        <v>2004.83</v>
      </c>
      <c r="L276" s="27">
        <f>(Table2[[#This Row],[Profit]]/Table2[[#This Row],[Revenue]])</f>
        <v>0.44330911326236838</v>
      </c>
    </row>
    <row r="277" spans="1:12" x14ac:dyDescent="0.3">
      <c r="A277" s="25" t="s">
        <v>301</v>
      </c>
      <c r="B277" s="26">
        <v>45858</v>
      </c>
      <c r="C277" s="25" t="s">
        <v>28</v>
      </c>
      <c r="D277" s="25" t="s">
        <v>13</v>
      </c>
      <c r="E277" s="25" t="s">
        <v>18</v>
      </c>
      <c r="F277" s="25">
        <v>2</v>
      </c>
      <c r="G277" s="29">
        <v>664.14</v>
      </c>
      <c r="H277" s="27">
        <v>0.15</v>
      </c>
      <c r="I277" s="29">
        <v>1129.04</v>
      </c>
      <c r="J277" s="29">
        <v>631.33000000000004</v>
      </c>
      <c r="K277" s="29">
        <v>497.71</v>
      </c>
      <c r="L277" s="27">
        <f>(Table2[[#This Row],[Profit]]/Table2[[#This Row],[Revenue]])</f>
        <v>0.44082583433713596</v>
      </c>
    </row>
    <row r="278" spans="1:12" x14ac:dyDescent="0.3">
      <c r="A278" s="25" t="s">
        <v>302</v>
      </c>
      <c r="B278" s="26">
        <v>46006</v>
      </c>
      <c r="C278" s="25" t="s">
        <v>21</v>
      </c>
      <c r="D278" s="25" t="s">
        <v>17</v>
      </c>
      <c r="E278" s="25" t="s">
        <v>22</v>
      </c>
      <c r="F278" s="25">
        <v>10</v>
      </c>
      <c r="G278" s="29">
        <v>242.76</v>
      </c>
      <c r="H278" s="27">
        <v>0.05</v>
      </c>
      <c r="I278" s="29">
        <v>2306.25</v>
      </c>
      <c r="J278" s="29">
        <v>1290.73</v>
      </c>
      <c r="K278" s="29">
        <v>1015.52</v>
      </c>
      <c r="L278" s="27">
        <f>(Table2[[#This Row],[Profit]]/Table2[[#This Row],[Revenue]])</f>
        <v>0.4403338753387534</v>
      </c>
    </row>
    <row r="279" spans="1:12" x14ac:dyDescent="0.3">
      <c r="A279" s="25" t="s">
        <v>303</v>
      </c>
      <c r="B279" s="26">
        <v>45665</v>
      </c>
      <c r="C279" s="25" t="s">
        <v>16</v>
      </c>
      <c r="D279" s="25" t="s">
        <v>33</v>
      </c>
      <c r="E279" s="25" t="s">
        <v>29</v>
      </c>
      <c r="F279" s="25">
        <v>8</v>
      </c>
      <c r="G279" s="29">
        <v>702.9</v>
      </c>
      <c r="H279" s="27">
        <v>0.05</v>
      </c>
      <c r="I279" s="29">
        <v>5342.02</v>
      </c>
      <c r="J279" s="29">
        <v>2933.14</v>
      </c>
      <c r="K279" s="29">
        <v>2408.88</v>
      </c>
      <c r="L279" s="27">
        <f>(Table2[[#This Row],[Profit]]/Table2[[#This Row],[Revenue]])</f>
        <v>0.45093054687178258</v>
      </c>
    </row>
    <row r="280" spans="1:12" x14ac:dyDescent="0.3">
      <c r="A280" s="25" t="s">
        <v>304</v>
      </c>
      <c r="B280" s="26">
        <v>45811</v>
      </c>
      <c r="C280" s="25" t="s">
        <v>21</v>
      </c>
      <c r="D280" s="25" t="s">
        <v>13</v>
      </c>
      <c r="E280" s="25" t="s">
        <v>29</v>
      </c>
      <c r="F280" s="25">
        <v>3</v>
      </c>
      <c r="G280" s="29">
        <v>423.93</v>
      </c>
      <c r="H280" s="27">
        <v>0.05</v>
      </c>
      <c r="I280" s="29">
        <v>1208.19</v>
      </c>
      <c r="J280" s="29">
        <v>887.85</v>
      </c>
      <c r="K280" s="29">
        <v>320.33999999999997</v>
      </c>
      <c r="L280" s="27">
        <f>(Table2[[#This Row],[Profit]]/Table2[[#This Row],[Revenue]])</f>
        <v>0.2651404166563206</v>
      </c>
    </row>
    <row r="281" spans="1:12" x14ac:dyDescent="0.3">
      <c r="A281" s="25" t="s">
        <v>305</v>
      </c>
      <c r="B281" s="26">
        <v>45873</v>
      </c>
      <c r="C281" s="25" t="s">
        <v>21</v>
      </c>
      <c r="D281" s="25" t="s">
        <v>33</v>
      </c>
      <c r="E281" s="25" t="s">
        <v>26</v>
      </c>
      <c r="F281" s="25">
        <v>1</v>
      </c>
      <c r="G281" s="29">
        <v>39.92</v>
      </c>
      <c r="H281" s="27">
        <v>0</v>
      </c>
      <c r="I281" s="29">
        <v>39.92</v>
      </c>
      <c r="J281" s="29">
        <v>25.99</v>
      </c>
      <c r="K281" s="29">
        <v>13.94</v>
      </c>
      <c r="L281" s="27">
        <f>(Table2[[#This Row],[Profit]]/Table2[[#This Row],[Revenue]])</f>
        <v>0.34919839679358716</v>
      </c>
    </row>
    <row r="282" spans="1:12" x14ac:dyDescent="0.3">
      <c r="A282" s="25" t="s">
        <v>306</v>
      </c>
      <c r="B282" s="26">
        <v>45950</v>
      </c>
      <c r="C282" s="25" t="s">
        <v>21</v>
      </c>
      <c r="D282" s="25" t="s">
        <v>13</v>
      </c>
      <c r="E282" s="25" t="s">
        <v>22</v>
      </c>
      <c r="F282" s="25">
        <v>8</v>
      </c>
      <c r="G282" s="29">
        <v>704.26</v>
      </c>
      <c r="H282" s="27">
        <v>0.15</v>
      </c>
      <c r="I282" s="29">
        <v>4788.9799999999996</v>
      </c>
      <c r="J282" s="29">
        <v>3442.11</v>
      </c>
      <c r="K282" s="29">
        <v>1346.87</v>
      </c>
      <c r="L282" s="27">
        <f>(Table2[[#This Row],[Profit]]/Table2[[#This Row],[Revenue]])</f>
        <v>0.28124360511006519</v>
      </c>
    </row>
    <row r="283" spans="1:12" x14ac:dyDescent="0.3">
      <c r="A283" s="25" t="s">
        <v>307</v>
      </c>
      <c r="B283" s="26">
        <v>45907</v>
      </c>
      <c r="C283" s="25" t="s">
        <v>28</v>
      </c>
      <c r="D283" s="25" t="s">
        <v>13</v>
      </c>
      <c r="E283" s="25" t="s">
        <v>29</v>
      </c>
      <c r="F283" s="25">
        <v>10</v>
      </c>
      <c r="G283" s="29">
        <v>507.96</v>
      </c>
      <c r="H283" s="27">
        <v>0</v>
      </c>
      <c r="I283" s="29">
        <v>5079.57</v>
      </c>
      <c r="J283" s="29">
        <v>2985.88</v>
      </c>
      <c r="K283" s="29">
        <v>2093.6999999999998</v>
      </c>
      <c r="L283" s="27">
        <f>(Table2[[#This Row],[Profit]]/Table2[[#This Row],[Revenue]])</f>
        <v>0.41218055859058933</v>
      </c>
    </row>
    <row r="284" spans="1:12" x14ac:dyDescent="0.3">
      <c r="A284" s="25" t="s">
        <v>308</v>
      </c>
      <c r="B284" s="26">
        <v>45857</v>
      </c>
      <c r="C284" s="25" t="s">
        <v>21</v>
      </c>
      <c r="D284" s="25" t="s">
        <v>13</v>
      </c>
      <c r="E284" s="25" t="s">
        <v>26</v>
      </c>
      <c r="F284" s="25">
        <v>6</v>
      </c>
      <c r="G284" s="29">
        <v>19.010000000000002</v>
      </c>
      <c r="H284" s="27">
        <v>0.15</v>
      </c>
      <c r="I284" s="29">
        <v>96.94</v>
      </c>
      <c r="J284" s="29">
        <v>67.33</v>
      </c>
      <c r="K284" s="29">
        <v>29.6</v>
      </c>
      <c r="L284" s="27">
        <f>(Table2[[#This Row],[Profit]]/Table2[[#This Row],[Revenue]])</f>
        <v>0.30534351145038169</v>
      </c>
    </row>
    <row r="285" spans="1:12" x14ac:dyDescent="0.3">
      <c r="A285" s="25" t="s">
        <v>309</v>
      </c>
      <c r="B285" s="26">
        <v>45924</v>
      </c>
      <c r="C285" s="25" t="s">
        <v>12</v>
      </c>
      <c r="D285" s="25" t="s">
        <v>13</v>
      </c>
      <c r="E285" s="25" t="s">
        <v>14</v>
      </c>
      <c r="F285" s="25">
        <v>8</v>
      </c>
      <c r="G285" s="29">
        <v>35.19</v>
      </c>
      <c r="H285" s="27">
        <v>0.15</v>
      </c>
      <c r="I285" s="29">
        <v>239.31</v>
      </c>
      <c r="J285" s="29">
        <v>157.15</v>
      </c>
      <c r="K285" s="29">
        <v>82.16</v>
      </c>
      <c r="L285" s="27">
        <f>(Table2[[#This Row],[Profit]]/Table2[[#This Row],[Revenue]])</f>
        <v>0.34332037942417781</v>
      </c>
    </row>
    <row r="286" spans="1:12" x14ac:dyDescent="0.3">
      <c r="A286" s="25" t="s">
        <v>310</v>
      </c>
      <c r="B286" s="26">
        <v>45839</v>
      </c>
      <c r="C286" s="25" t="s">
        <v>12</v>
      </c>
      <c r="D286" s="25" t="s">
        <v>13</v>
      </c>
      <c r="E286" s="25" t="s">
        <v>24</v>
      </c>
      <c r="F286" s="25">
        <v>1</v>
      </c>
      <c r="G286" s="29">
        <v>790.89</v>
      </c>
      <c r="H286" s="27">
        <v>0.05</v>
      </c>
      <c r="I286" s="29">
        <v>751.35</v>
      </c>
      <c r="J286" s="29">
        <v>573.5</v>
      </c>
      <c r="K286" s="29">
        <v>177.85</v>
      </c>
      <c r="L286" s="27">
        <f>(Table2[[#This Row],[Profit]]/Table2[[#This Row],[Revenue]])</f>
        <v>0.23670726026485658</v>
      </c>
    </row>
    <row r="287" spans="1:12" x14ac:dyDescent="0.3">
      <c r="A287" s="25" t="s">
        <v>311</v>
      </c>
      <c r="B287" s="26">
        <v>45810</v>
      </c>
      <c r="C287" s="25" t="s">
        <v>12</v>
      </c>
      <c r="D287" s="25" t="s">
        <v>13</v>
      </c>
      <c r="E287" s="25" t="s">
        <v>18</v>
      </c>
      <c r="F287" s="25">
        <v>5</v>
      </c>
      <c r="G287" s="29">
        <v>280.33</v>
      </c>
      <c r="H287" s="27">
        <v>0.15</v>
      </c>
      <c r="I287" s="29">
        <v>1191.4100000000001</v>
      </c>
      <c r="J287" s="29">
        <v>777.85</v>
      </c>
      <c r="K287" s="29">
        <v>413.56</v>
      </c>
      <c r="L287" s="27">
        <f>(Table2[[#This Row],[Profit]]/Table2[[#This Row],[Revenue]])</f>
        <v>0.34711812054624352</v>
      </c>
    </row>
    <row r="288" spans="1:12" x14ac:dyDescent="0.3">
      <c r="A288" s="25" t="s">
        <v>312</v>
      </c>
      <c r="B288" s="26">
        <v>45879</v>
      </c>
      <c r="C288" s="25" t="s">
        <v>21</v>
      </c>
      <c r="D288" s="25" t="s">
        <v>17</v>
      </c>
      <c r="E288" s="25" t="s">
        <v>24</v>
      </c>
      <c r="F288" s="25">
        <v>2</v>
      </c>
      <c r="G288" s="29">
        <v>669.4</v>
      </c>
      <c r="H288" s="27">
        <v>0.1</v>
      </c>
      <c r="I288" s="29">
        <v>1204.92</v>
      </c>
      <c r="J288" s="29">
        <v>622.02</v>
      </c>
      <c r="K288" s="29">
        <v>582.91</v>
      </c>
      <c r="L288" s="27">
        <f>(Table2[[#This Row],[Profit]]/Table2[[#This Row],[Revenue]])</f>
        <v>0.48377485642200307</v>
      </c>
    </row>
    <row r="289" spans="1:12" x14ac:dyDescent="0.3">
      <c r="A289" s="25" t="s">
        <v>313</v>
      </c>
      <c r="B289" s="26">
        <v>45850</v>
      </c>
      <c r="C289" s="25" t="s">
        <v>16</v>
      </c>
      <c r="D289" s="25" t="s">
        <v>13</v>
      </c>
      <c r="E289" s="25" t="s">
        <v>31</v>
      </c>
      <c r="F289" s="25">
        <v>3</v>
      </c>
      <c r="G289" s="29">
        <v>324.39999999999998</v>
      </c>
      <c r="H289" s="27">
        <v>0.1</v>
      </c>
      <c r="I289" s="29">
        <v>875.89</v>
      </c>
      <c r="J289" s="29">
        <v>451.02</v>
      </c>
      <c r="K289" s="29">
        <v>424.87</v>
      </c>
      <c r="L289" s="27">
        <f>(Table2[[#This Row],[Profit]]/Table2[[#This Row],[Revenue]])</f>
        <v>0.48507232643368459</v>
      </c>
    </row>
    <row r="290" spans="1:12" x14ac:dyDescent="0.3">
      <c r="A290" s="25" t="s">
        <v>314</v>
      </c>
      <c r="B290" s="26">
        <v>45698</v>
      </c>
      <c r="C290" s="25" t="s">
        <v>12</v>
      </c>
      <c r="D290" s="25" t="s">
        <v>13</v>
      </c>
      <c r="E290" s="25" t="s">
        <v>14</v>
      </c>
      <c r="F290" s="25">
        <v>6</v>
      </c>
      <c r="G290" s="29">
        <v>145.81</v>
      </c>
      <c r="H290" s="27">
        <v>0.15</v>
      </c>
      <c r="I290" s="29">
        <v>743.61</v>
      </c>
      <c r="J290" s="29">
        <v>425.38</v>
      </c>
      <c r="K290" s="29">
        <v>318.23</v>
      </c>
      <c r="L290" s="27">
        <f>(Table2[[#This Row],[Profit]]/Table2[[#This Row],[Revenue]])</f>
        <v>0.42795282473339519</v>
      </c>
    </row>
    <row r="291" spans="1:12" x14ac:dyDescent="0.3">
      <c r="A291" s="25" t="s">
        <v>315</v>
      </c>
      <c r="B291" s="26">
        <v>45827</v>
      </c>
      <c r="C291" s="25" t="s">
        <v>28</v>
      </c>
      <c r="D291" s="25" t="s">
        <v>13</v>
      </c>
      <c r="E291" s="25" t="s">
        <v>31</v>
      </c>
      <c r="F291" s="25">
        <v>7</v>
      </c>
      <c r="G291" s="29">
        <v>630.72</v>
      </c>
      <c r="H291" s="27">
        <v>0.15</v>
      </c>
      <c r="I291" s="29">
        <v>3752.76</v>
      </c>
      <c r="J291" s="29">
        <v>2388.37</v>
      </c>
      <c r="K291" s="29">
        <v>1364.39</v>
      </c>
      <c r="L291" s="27">
        <f>(Table2[[#This Row],[Profit]]/Table2[[#This Row],[Revenue]])</f>
        <v>0.36356974600027714</v>
      </c>
    </row>
    <row r="292" spans="1:12" x14ac:dyDescent="0.3">
      <c r="A292" s="25" t="s">
        <v>316</v>
      </c>
      <c r="B292" s="26">
        <v>45733</v>
      </c>
      <c r="C292" s="25" t="s">
        <v>16</v>
      </c>
      <c r="D292" s="25" t="s">
        <v>33</v>
      </c>
      <c r="E292" s="25" t="s">
        <v>26</v>
      </c>
      <c r="F292" s="25">
        <v>7</v>
      </c>
      <c r="G292" s="29">
        <v>533.65</v>
      </c>
      <c r="H292" s="27">
        <v>0</v>
      </c>
      <c r="I292" s="29">
        <v>3735.56</v>
      </c>
      <c r="J292" s="29">
        <v>2942.33</v>
      </c>
      <c r="K292" s="29">
        <v>793.23</v>
      </c>
      <c r="L292" s="27">
        <f>(Table2[[#This Row],[Profit]]/Table2[[#This Row],[Revenue]])</f>
        <v>0.21234567240253135</v>
      </c>
    </row>
    <row r="293" spans="1:12" x14ac:dyDescent="0.3">
      <c r="A293" s="25" t="s">
        <v>317</v>
      </c>
      <c r="B293" s="26">
        <v>45690</v>
      </c>
      <c r="C293" s="25" t="s">
        <v>28</v>
      </c>
      <c r="D293" s="25" t="s">
        <v>13</v>
      </c>
      <c r="E293" s="25" t="s">
        <v>24</v>
      </c>
      <c r="F293" s="25">
        <v>3</v>
      </c>
      <c r="G293" s="29">
        <v>437.17</v>
      </c>
      <c r="H293" s="27">
        <v>0.15</v>
      </c>
      <c r="I293" s="29">
        <v>1114.78</v>
      </c>
      <c r="J293" s="29">
        <v>514.05999999999995</v>
      </c>
      <c r="K293" s="29">
        <v>600.72</v>
      </c>
      <c r="L293" s="27">
        <f>(Table2[[#This Row],[Profit]]/Table2[[#This Row],[Revenue]])</f>
        <v>0.53886865569888232</v>
      </c>
    </row>
    <row r="294" spans="1:12" x14ac:dyDescent="0.3">
      <c r="A294" s="25" t="s">
        <v>318</v>
      </c>
      <c r="B294" s="26">
        <v>45997</v>
      </c>
      <c r="C294" s="25" t="s">
        <v>21</v>
      </c>
      <c r="D294" s="25" t="s">
        <v>13</v>
      </c>
      <c r="E294" s="25" t="s">
        <v>31</v>
      </c>
      <c r="F294" s="25">
        <v>11</v>
      </c>
      <c r="G294" s="29">
        <v>414.35</v>
      </c>
      <c r="H294" s="27">
        <v>0.2</v>
      </c>
      <c r="I294" s="29">
        <v>3646.28</v>
      </c>
      <c r="J294" s="29">
        <v>2784.58</v>
      </c>
      <c r="K294" s="29">
        <v>861.7</v>
      </c>
      <c r="L294" s="27">
        <f>(Table2[[#This Row],[Profit]]/Table2[[#This Row],[Revenue]])</f>
        <v>0.23632304705069276</v>
      </c>
    </row>
    <row r="295" spans="1:12" x14ac:dyDescent="0.3">
      <c r="A295" s="25" t="s">
        <v>319</v>
      </c>
      <c r="B295" s="26">
        <v>45875</v>
      </c>
      <c r="C295" s="25" t="s">
        <v>16</v>
      </c>
      <c r="D295" s="25" t="s">
        <v>17</v>
      </c>
      <c r="E295" s="25" t="s">
        <v>22</v>
      </c>
      <c r="F295" s="25">
        <v>5</v>
      </c>
      <c r="G295" s="29">
        <v>361.94</v>
      </c>
      <c r="H295" s="27">
        <v>0.05</v>
      </c>
      <c r="I295" s="29">
        <v>1719.22</v>
      </c>
      <c r="J295" s="29">
        <v>1117.19</v>
      </c>
      <c r="K295" s="29">
        <v>602.03</v>
      </c>
      <c r="L295" s="27">
        <f>(Table2[[#This Row],[Profit]]/Table2[[#This Row],[Revenue]])</f>
        <v>0.35017624271471942</v>
      </c>
    </row>
    <row r="296" spans="1:12" x14ac:dyDescent="0.3">
      <c r="A296" s="25" t="s">
        <v>320</v>
      </c>
      <c r="B296" s="26">
        <v>45709</v>
      </c>
      <c r="C296" s="25" t="s">
        <v>16</v>
      </c>
      <c r="D296" s="25" t="s">
        <v>33</v>
      </c>
      <c r="E296" s="25" t="s">
        <v>26</v>
      </c>
      <c r="F296" s="25">
        <v>4</v>
      </c>
      <c r="G296" s="29">
        <v>440.5</v>
      </c>
      <c r="H296" s="27">
        <v>0.05</v>
      </c>
      <c r="I296" s="29">
        <v>1673.91</v>
      </c>
      <c r="J296" s="29">
        <v>758.06</v>
      </c>
      <c r="K296" s="29">
        <v>915.85</v>
      </c>
      <c r="L296" s="27">
        <f>(Table2[[#This Row],[Profit]]/Table2[[#This Row],[Revenue]])</f>
        <v>0.54713216361692085</v>
      </c>
    </row>
    <row r="297" spans="1:12" x14ac:dyDescent="0.3">
      <c r="A297" s="25" t="s">
        <v>321</v>
      </c>
      <c r="B297" s="26">
        <v>45786</v>
      </c>
      <c r="C297" s="25" t="s">
        <v>21</v>
      </c>
      <c r="D297" s="25" t="s">
        <v>13</v>
      </c>
      <c r="E297" s="25" t="s">
        <v>22</v>
      </c>
      <c r="F297" s="25">
        <v>2</v>
      </c>
      <c r="G297" s="29">
        <v>766.25</v>
      </c>
      <c r="H297" s="27">
        <v>0.1</v>
      </c>
      <c r="I297" s="29">
        <v>1379.25</v>
      </c>
      <c r="J297" s="29">
        <v>1062.23</v>
      </c>
      <c r="K297" s="29">
        <v>317.01</v>
      </c>
      <c r="L297" s="27">
        <f>(Table2[[#This Row],[Profit]]/Table2[[#This Row],[Revenue]])</f>
        <v>0.22984230560087004</v>
      </c>
    </row>
    <row r="298" spans="1:12" x14ac:dyDescent="0.3">
      <c r="A298" s="25" t="s">
        <v>322</v>
      </c>
      <c r="B298" s="26">
        <v>45946</v>
      </c>
      <c r="C298" s="25" t="s">
        <v>12</v>
      </c>
      <c r="D298" s="25" t="s">
        <v>33</v>
      </c>
      <c r="E298" s="25" t="s">
        <v>18</v>
      </c>
      <c r="F298" s="25">
        <v>7</v>
      </c>
      <c r="G298" s="29">
        <v>332.25</v>
      </c>
      <c r="H298" s="27">
        <v>0.05</v>
      </c>
      <c r="I298" s="29">
        <v>2209.4499999999998</v>
      </c>
      <c r="J298" s="29">
        <v>1269.6400000000001</v>
      </c>
      <c r="K298" s="29">
        <v>939.82</v>
      </c>
      <c r="L298" s="27">
        <f>(Table2[[#This Row],[Profit]]/Table2[[#This Row],[Revenue]])</f>
        <v>0.42536377831587052</v>
      </c>
    </row>
    <row r="299" spans="1:12" x14ac:dyDescent="0.3">
      <c r="A299" s="25" t="s">
        <v>323</v>
      </c>
      <c r="B299" s="26">
        <v>45904</v>
      </c>
      <c r="C299" s="25" t="s">
        <v>28</v>
      </c>
      <c r="D299" s="25" t="s">
        <v>33</v>
      </c>
      <c r="E299" s="25" t="s">
        <v>34</v>
      </c>
      <c r="F299" s="25">
        <v>3</v>
      </c>
      <c r="G299" s="29">
        <v>350.01</v>
      </c>
      <c r="H299" s="27">
        <v>0.05</v>
      </c>
      <c r="I299" s="29">
        <v>997.52</v>
      </c>
      <c r="J299" s="29">
        <v>529.51</v>
      </c>
      <c r="K299" s="29">
        <v>468.01</v>
      </c>
      <c r="L299" s="27">
        <f>(Table2[[#This Row],[Profit]]/Table2[[#This Row],[Revenue]])</f>
        <v>0.46917355040500441</v>
      </c>
    </row>
    <row r="300" spans="1:12" x14ac:dyDescent="0.3">
      <c r="A300" s="25" t="s">
        <v>324</v>
      </c>
      <c r="B300" s="26">
        <v>45988</v>
      </c>
      <c r="C300" s="25" t="s">
        <v>16</v>
      </c>
      <c r="D300" s="25" t="s">
        <v>13</v>
      </c>
      <c r="E300" s="25" t="s">
        <v>24</v>
      </c>
      <c r="F300" s="25">
        <v>8</v>
      </c>
      <c r="G300" s="29">
        <v>107.89</v>
      </c>
      <c r="H300" s="27">
        <v>0</v>
      </c>
      <c r="I300" s="29">
        <v>863.08</v>
      </c>
      <c r="J300" s="29">
        <v>409.57</v>
      </c>
      <c r="K300" s="29">
        <v>453.51</v>
      </c>
      <c r="L300" s="27">
        <f>(Table2[[#This Row],[Profit]]/Table2[[#This Row],[Revenue]])</f>
        <v>0.52545534597024601</v>
      </c>
    </row>
    <row r="301" spans="1:12" x14ac:dyDescent="0.3">
      <c r="A301" s="25" t="s">
        <v>325</v>
      </c>
      <c r="B301" s="26">
        <v>45895</v>
      </c>
      <c r="C301" s="25" t="s">
        <v>16</v>
      </c>
      <c r="D301" s="25" t="s">
        <v>33</v>
      </c>
      <c r="E301" s="25" t="s">
        <v>24</v>
      </c>
      <c r="F301" s="25">
        <v>2</v>
      </c>
      <c r="G301" s="29">
        <v>422.28</v>
      </c>
      <c r="H301" s="27">
        <v>0.15</v>
      </c>
      <c r="I301" s="29">
        <v>717.88</v>
      </c>
      <c r="J301" s="29">
        <v>547.79</v>
      </c>
      <c r="K301" s="29">
        <v>170.09</v>
      </c>
      <c r="L301" s="27">
        <f>(Table2[[#This Row],[Profit]]/Table2[[#This Row],[Revenue]])</f>
        <v>0.23693374937315428</v>
      </c>
    </row>
    <row r="302" spans="1:12" x14ac:dyDescent="0.3">
      <c r="A302" s="25" t="s">
        <v>326</v>
      </c>
      <c r="B302" s="26">
        <v>45957</v>
      </c>
      <c r="C302" s="25" t="s">
        <v>16</v>
      </c>
      <c r="D302" s="25" t="s">
        <v>33</v>
      </c>
      <c r="E302" s="25" t="s">
        <v>31</v>
      </c>
      <c r="F302" s="25">
        <v>4</v>
      </c>
      <c r="G302" s="29">
        <v>839.2</v>
      </c>
      <c r="H302" s="27">
        <v>0.15</v>
      </c>
      <c r="I302" s="29">
        <v>2853.29</v>
      </c>
      <c r="J302" s="29">
        <v>1809.39</v>
      </c>
      <c r="K302" s="29">
        <v>1043.9000000000001</v>
      </c>
      <c r="L302" s="27">
        <f>(Table2[[#This Row],[Profit]]/Table2[[#This Row],[Revenue]])</f>
        <v>0.36585835999845795</v>
      </c>
    </row>
    <row r="303" spans="1:12" x14ac:dyDescent="0.3">
      <c r="A303" s="25" t="s">
        <v>327</v>
      </c>
      <c r="B303" s="26">
        <v>45700</v>
      </c>
      <c r="C303" s="25" t="s">
        <v>21</v>
      </c>
      <c r="D303" s="25" t="s">
        <v>13</v>
      </c>
      <c r="E303" s="25" t="s">
        <v>24</v>
      </c>
      <c r="F303" s="25">
        <v>8</v>
      </c>
      <c r="G303" s="29">
        <v>522.79999999999995</v>
      </c>
      <c r="H303" s="27">
        <v>0.2</v>
      </c>
      <c r="I303" s="29">
        <v>3345.89</v>
      </c>
      <c r="J303" s="29">
        <v>1767.28</v>
      </c>
      <c r="K303" s="29">
        <v>1578.62</v>
      </c>
      <c r="L303" s="27">
        <f>(Table2[[#This Row],[Profit]]/Table2[[#This Row],[Revenue]])</f>
        <v>0.471808696639758</v>
      </c>
    </row>
    <row r="304" spans="1:12" x14ac:dyDescent="0.3">
      <c r="A304" s="25" t="s">
        <v>328</v>
      </c>
      <c r="B304" s="26">
        <v>45967</v>
      </c>
      <c r="C304" s="25" t="s">
        <v>12</v>
      </c>
      <c r="D304" s="25" t="s">
        <v>13</v>
      </c>
      <c r="E304" s="25" t="s">
        <v>31</v>
      </c>
      <c r="F304" s="25">
        <v>4</v>
      </c>
      <c r="G304" s="29">
        <v>207.3</v>
      </c>
      <c r="H304" s="27">
        <v>0</v>
      </c>
      <c r="I304" s="29">
        <v>829.2</v>
      </c>
      <c r="J304" s="29">
        <v>403.14</v>
      </c>
      <c r="K304" s="29">
        <v>426.06</v>
      </c>
      <c r="L304" s="27">
        <f>(Table2[[#This Row],[Profit]]/Table2[[#This Row],[Revenue]])</f>
        <v>0.51382054992764103</v>
      </c>
    </row>
    <row r="305" spans="1:12" x14ac:dyDescent="0.3">
      <c r="A305" s="25" t="s">
        <v>329</v>
      </c>
      <c r="B305" s="26">
        <v>45850</v>
      </c>
      <c r="C305" s="25" t="s">
        <v>28</v>
      </c>
      <c r="D305" s="25" t="s">
        <v>17</v>
      </c>
      <c r="E305" s="25" t="s">
        <v>24</v>
      </c>
      <c r="F305" s="25">
        <v>1</v>
      </c>
      <c r="G305" s="29">
        <v>552.64</v>
      </c>
      <c r="H305" s="27">
        <v>0.1</v>
      </c>
      <c r="I305" s="29">
        <v>497.38</v>
      </c>
      <c r="J305" s="29">
        <v>239.89</v>
      </c>
      <c r="K305" s="29">
        <v>257.49</v>
      </c>
      <c r="L305" s="27">
        <f>(Table2[[#This Row],[Profit]]/Table2[[#This Row],[Revenue]])</f>
        <v>0.51769270979934856</v>
      </c>
    </row>
    <row r="306" spans="1:12" x14ac:dyDescent="0.3">
      <c r="A306" s="25" t="s">
        <v>330</v>
      </c>
      <c r="B306" s="26">
        <v>45993</v>
      </c>
      <c r="C306" s="25" t="s">
        <v>16</v>
      </c>
      <c r="D306" s="25" t="s">
        <v>13</v>
      </c>
      <c r="E306" s="25" t="s">
        <v>26</v>
      </c>
      <c r="F306" s="25">
        <v>10</v>
      </c>
      <c r="G306" s="29">
        <v>558.09</v>
      </c>
      <c r="H306" s="27">
        <v>0.2</v>
      </c>
      <c r="I306" s="29">
        <v>4464.6899999999996</v>
      </c>
      <c r="J306" s="29">
        <v>2166.0500000000002</v>
      </c>
      <c r="K306" s="29">
        <v>2298.64</v>
      </c>
      <c r="L306" s="27">
        <f>(Table2[[#This Row],[Profit]]/Table2[[#This Row],[Revenue]])</f>
        <v>0.51484873529853137</v>
      </c>
    </row>
    <row r="307" spans="1:12" x14ac:dyDescent="0.3">
      <c r="A307" s="25" t="s">
        <v>331</v>
      </c>
      <c r="B307" s="26">
        <v>45774</v>
      </c>
      <c r="C307" s="25" t="s">
        <v>28</v>
      </c>
      <c r="D307" s="25" t="s">
        <v>13</v>
      </c>
      <c r="E307" s="25" t="s">
        <v>14</v>
      </c>
      <c r="F307" s="25">
        <v>6</v>
      </c>
      <c r="G307" s="29">
        <v>650.45000000000005</v>
      </c>
      <c r="H307" s="27">
        <v>0</v>
      </c>
      <c r="I307" s="29">
        <v>3902.69</v>
      </c>
      <c r="J307" s="29">
        <v>1853.14</v>
      </c>
      <c r="K307" s="29">
        <v>2049.5500000000002</v>
      </c>
      <c r="L307" s="27">
        <f>(Table2[[#This Row],[Profit]]/Table2[[#This Row],[Revenue]])</f>
        <v>0.52516341292800606</v>
      </c>
    </row>
    <row r="308" spans="1:12" x14ac:dyDescent="0.3">
      <c r="A308" s="25" t="s">
        <v>332</v>
      </c>
      <c r="B308" s="26">
        <v>45974</v>
      </c>
      <c r="C308" s="25" t="s">
        <v>28</v>
      </c>
      <c r="D308" s="25" t="s">
        <v>17</v>
      </c>
      <c r="E308" s="25" t="s">
        <v>26</v>
      </c>
      <c r="F308" s="25">
        <v>5</v>
      </c>
      <c r="G308" s="29">
        <v>478.21</v>
      </c>
      <c r="H308" s="27">
        <v>0.05</v>
      </c>
      <c r="I308" s="29">
        <v>2271.5</v>
      </c>
      <c r="J308" s="29">
        <v>1359.97</v>
      </c>
      <c r="K308" s="29">
        <v>911.53</v>
      </c>
      <c r="L308" s="27">
        <f>(Table2[[#This Row],[Profit]]/Table2[[#This Row],[Revenue]])</f>
        <v>0.40128989654413383</v>
      </c>
    </row>
    <row r="309" spans="1:12" x14ac:dyDescent="0.3">
      <c r="A309" s="25" t="s">
        <v>333</v>
      </c>
      <c r="B309" s="26">
        <v>45956</v>
      </c>
      <c r="C309" s="25" t="s">
        <v>12</v>
      </c>
      <c r="D309" s="25" t="s">
        <v>33</v>
      </c>
      <c r="E309" s="25" t="s">
        <v>24</v>
      </c>
      <c r="F309" s="25">
        <v>7</v>
      </c>
      <c r="G309" s="29">
        <v>538.19000000000005</v>
      </c>
      <c r="H309" s="27">
        <v>0.1</v>
      </c>
      <c r="I309" s="29">
        <v>3390.58</v>
      </c>
      <c r="J309" s="29">
        <v>2041.98</v>
      </c>
      <c r="K309" s="29">
        <v>1348.59</v>
      </c>
      <c r="L309" s="27">
        <f>(Table2[[#This Row],[Profit]]/Table2[[#This Row],[Revenue]])</f>
        <v>0.39774610833544699</v>
      </c>
    </row>
    <row r="310" spans="1:12" x14ac:dyDescent="0.3">
      <c r="A310" s="25" t="s">
        <v>334</v>
      </c>
      <c r="B310" s="26">
        <v>45959</v>
      </c>
      <c r="C310" s="25" t="s">
        <v>21</v>
      </c>
      <c r="D310" s="25" t="s">
        <v>13</v>
      </c>
      <c r="E310" s="25" t="s">
        <v>18</v>
      </c>
      <c r="F310" s="25">
        <v>8</v>
      </c>
      <c r="G310" s="29">
        <v>227.11</v>
      </c>
      <c r="H310" s="27">
        <v>0</v>
      </c>
      <c r="I310" s="29">
        <v>1816.87</v>
      </c>
      <c r="J310" s="29">
        <v>1122.9000000000001</v>
      </c>
      <c r="K310" s="29">
        <v>693.97</v>
      </c>
      <c r="L310" s="27">
        <f>(Table2[[#This Row],[Profit]]/Table2[[#This Row],[Revenue]])</f>
        <v>0.38195908347872992</v>
      </c>
    </row>
    <row r="311" spans="1:12" x14ac:dyDescent="0.3">
      <c r="A311" s="25" t="s">
        <v>335</v>
      </c>
      <c r="B311" s="26">
        <v>45711</v>
      </c>
      <c r="C311" s="25" t="s">
        <v>21</v>
      </c>
      <c r="D311" s="25" t="s">
        <v>17</v>
      </c>
      <c r="E311" s="25" t="s">
        <v>18</v>
      </c>
      <c r="F311" s="25">
        <v>8</v>
      </c>
      <c r="G311" s="29">
        <v>840.41</v>
      </c>
      <c r="H311" s="27">
        <v>0.1</v>
      </c>
      <c r="I311" s="29">
        <v>6050.92</v>
      </c>
      <c r="J311" s="29">
        <v>3682.95</v>
      </c>
      <c r="K311" s="29">
        <v>2367.98</v>
      </c>
      <c r="L311" s="27">
        <f>(Table2[[#This Row],[Profit]]/Table2[[#This Row],[Revenue]])</f>
        <v>0.39134214301296333</v>
      </c>
    </row>
    <row r="312" spans="1:12" x14ac:dyDescent="0.3">
      <c r="A312" s="25" t="s">
        <v>336</v>
      </c>
      <c r="B312" s="26">
        <v>46012</v>
      </c>
      <c r="C312" s="25" t="s">
        <v>12</v>
      </c>
      <c r="D312" s="25" t="s">
        <v>33</v>
      </c>
      <c r="E312" s="25" t="s">
        <v>29</v>
      </c>
      <c r="F312" s="25">
        <v>10</v>
      </c>
      <c r="G312" s="29">
        <v>109.59</v>
      </c>
      <c r="H312" s="27">
        <v>0.05</v>
      </c>
      <c r="I312" s="29">
        <v>1041.1199999999999</v>
      </c>
      <c r="J312" s="29">
        <v>747.71</v>
      </c>
      <c r="K312" s="29">
        <v>293.41000000000003</v>
      </c>
      <c r="L312" s="27">
        <f>(Table2[[#This Row],[Profit]]/Table2[[#This Row],[Revenue]])</f>
        <v>0.28182149992315975</v>
      </c>
    </row>
    <row r="313" spans="1:12" x14ac:dyDescent="0.3">
      <c r="A313" s="25" t="s">
        <v>337</v>
      </c>
      <c r="B313" s="26">
        <v>45893</v>
      </c>
      <c r="C313" s="25" t="s">
        <v>21</v>
      </c>
      <c r="D313" s="25" t="s">
        <v>17</v>
      </c>
      <c r="E313" s="25" t="s">
        <v>31</v>
      </c>
      <c r="F313" s="25">
        <v>11</v>
      </c>
      <c r="G313" s="29">
        <v>441.84</v>
      </c>
      <c r="H313" s="27">
        <v>0.1</v>
      </c>
      <c r="I313" s="29">
        <v>4374.25</v>
      </c>
      <c r="J313" s="29">
        <v>2080.71</v>
      </c>
      <c r="K313" s="29">
        <v>2293.54</v>
      </c>
      <c r="L313" s="27">
        <f>(Table2[[#This Row],[Profit]]/Table2[[#This Row],[Revenue]])</f>
        <v>0.52432759901697434</v>
      </c>
    </row>
    <row r="314" spans="1:12" x14ac:dyDescent="0.3">
      <c r="A314" s="25" t="s">
        <v>338</v>
      </c>
      <c r="B314" s="26">
        <v>45828</v>
      </c>
      <c r="C314" s="25" t="s">
        <v>21</v>
      </c>
      <c r="D314" s="25" t="s">
        <v>17</v>
      </c>
      <c r="E314" s="25" t="s">
        <v>18</v>
      </c>
      <c r="F314" s="25">
        <v>2</v>
      </c>
      <c r="G314" s="29">
        <v>376.69</v>
      </c>
      <c r="H314" s="27">
        <v>0.1</v>
      </c>
      <c r="I314" s="29">
        <v>678.05</v>
      </c>
      <c r="J314" s="29">
        <v>503.45</v>
      </c>
      <c r="K314" s="29">
        <v>174.59</v>
      </c>
      <c r="L314" s="27">
        <f>(Table2[[#This Row],[Profit]]/Table2[[#This Row],[Revenue]])</f>
        <v>0.25748838581225575</v>
      </c>
    </row>
    <row r="315" spans="1:12" x14ac:dyDescent="0.3">
      <c r="A315" s="25" t="s">
        <v>339</v>
      </c>
      <c r="B315" s="26">
        <v>45723</v>
      </c>
      <c r="C315" s="25" t="s">
        <v>16</v>
      </c>
      <c r="D315" s="25" t="s">
        <v>33</v>
      </c>
      <c r="E315" s="25" t="s">
        <v>14</v>
      </c>
      <c r="F315" s="25">
        <v>7</v>
      </c>
      <c r="G315" s="29">
        <v>185.5</v>
      </c>
      <c r="H315" s="27">
        <v>0</v>
      </c>
      <c r="I315" s="29">
        <v>1298.47</v>
      </c>
      <c r="J315" s="29">
        <v>667.66</v>
      </c>
      <c r="K315" s="29">
        <v>630.80999999999995</v>
      </c>
      <c r="L315" s="27">
        <f>(Table2[[#This Row],[Profit]]/Table2[[#This Row],[Revenue]])</f>
        <v>0.48581022280068076</v>
      </c>
    </row>
    <row r="316" spans="1:12" x14ac:dyDescent="0.3">
      <c r="A316" s="25" t="s">
        <v>340</v>
      </c>
      <c r="B316" s="26">
        <v>45896</v>
      </c>
      <c r="C316" s="25" t="s">
        <v>21</v>
      </c>
      <c r="D316" s="25" t="s">
        <v>17</v>
      </c>
      <c r="E316" s="25" t="s">
        <v>29</v>
      </c>
      <c r="F316" s="25">
        <v>8</v>
      </c>
      <c r="G316" s="29">
        <v>461.19</v>
      </c>
      <c r="H316" s="27">
        <v>0.05</v>
      </c>
      <c r="I316" s="29">
        <v>3505.08</v>
      </c>
      <c r="J316" s="29">
        <v>2003.37</v>
      </c>
      <c r="K316" s="29">
        <v>1501.71</v>
      </c>
      <c r="L316" s="27">
        <f>(Table2[[#This Row],[Profit]]/Table2[[#This Row],[Revenue]])</f>
        <v>0.42843815262419122</v>
      </c>
    </row>
    <row r="317" spans="1:12" x14ac:dyDescent="0.3">
      <c r="A317" s="25" t="s">
        <v>341</v>
      </c>
      <c r="B317" s="26">
        <v>45674</v>
      </c>
      <c r="C317" s="25" t="s">
        <v>16</v>
      </c>
      <c r="D317" s="25" t="s">
        <v>17</v>
      </c>
      <c r="E317" s="25" t="s">
        <v>26</v>
      </c>
      <c r="F317" s="25">
        <v>8</v>
      </c>
      <c r="G317" s="29">
        <v>383.57</v>
      </c>
      <c r="H317" s="27">
        <v>0</v>
      </c>
      <c r="I317" s="29">
        <v>3068.54</v>
      </c>
      <c r="J317" s="29">
        <v>1944.28</v>
      </c>
      <c r="K317" s="29">
        <v>1124.26</v>
      </c>
      <c r="L317" s="27">
        <f>(Table2[[#This Row],[Profit]]/Table2[[#This Row],[Revenue]])</f>
        <v>0.36638270969255737</v>
      </c>
    </row>
    <row r="318" spans="1:12" x14ac:dyDescent="0.3">
      <c r="A318" s="25" t="s">
        <v>342</v>
      </c>
      <c r="B318" s="26">
        <v>45693</v>
      </c>
      <c r="C318" s="25" t="s">
        <v>28</v>
      </c>
      <c r="D318" s="25" t="s">
        <v>33</v>
      </c>
      <c r="E318" s="25" t="s">
        <v>18</v>
      </c>
      <c r="F318" s="25">
        <v>9</v>
      </c>
      <c r="G318" s="29">
        <v>373.51</v>
      </c>
      <c r="H318" s="27">
        <v>0.1</v>
      </c>
      <c r="I318" s="29">
        <v>3025.47</v>
      </c>
      <c r="J318" s="29">
        <v>2415.1999999999998</v>
      </c>
      <c r="K318" s="29">
        <v>610.27</v>
      </c>
      <c r="L318" s="27">
        <f>(Table2[[#This Row],[Profit]]/Table2[[#This Row],[Revenue]])</f>
        <v>0.20171080856858606</v>
      </c>
    </row>
    <row r="319" spans="1:12" x14ac:dyDescent="0.3">
      <c r="A319" s="25" t="s">
        <v>343</v>
      </c>
      <c r="B319" s="26">
        <v>45698</v>
      </c>
      <c r="C319" s="25" t="s">
        <v>16</v>
      </c>
      <c r="D319" s="25" t="s">
        <v>17</v>
      </c>
      <c r="E319" s="25" t="s">
        <v>14</v>
      </c>
      <c r="F319" s="25">
        <v>6</v>
      </c>
      <c r="G319" s="29">
        <v>60.6</v>
      </c>
      <c r="H319" s="27">
        <v>0.05</v>
      </c>
      <c r="I319" s="29">
        <v>345.43</v>
      </c>
      <c r="J319" s="29">
        <v>157.47999999999999</v>
      </c>
      <c r="K319" s="29">
        <v>187.95</v>
      </c>
      <c r="L319" s="27">
        <f>(Table2[[#This Row],[Profit]]/Table2[[#This Row],[Revenue]])</f>
        <v>0.5441044495266768</v>
      </c>
    </row>
    <row r="320" spans="1:12" x14ac:dyDescent="0.3">
      <c r="A320" s="25" t="s">
        <v>344</v>
      </c>
      <c r="B320" s="26">
        <v>45663</v>
      </c>
      <c r="C320" s="25" t="s">
        <v>21</v>
      </c>
      <c r="D320" s="25" t="s">
        <v>33</v>
      </c>
      <c r="E320" s="25" t="s">
        <v>34</v>
      </c>
      <c r="F320" s="25">
        <v>3</v>
      </c>
      <c r="G320" s="29">
        <v>564.9</v>
      </c>
      <c r="H320" s="27">
        <v>0.05</v>
      </c>
      <c r="I320" s="29">
        <v>1609.97</v>
      </c>
      <c r="J320" s="29">
        <v>913.78</v>
      </c>
      <c r="K320" s="29">
        <v>696.19</v>
      </c>
      <c r="L320" s="27">
        <f>(Table2[[#This Row],[Profit]]/Table2[[#This Row],[Revenue]])</f>
        <v>0.43242420666223597</v>
      </c>
    </row>
    <row r="321" spans="1:12" x14ac:dyDescent="0.3">
      <c r="A321" s="25" t="s">
        <v>345</v>
      </c>
      <c r="B321" s="26">
        <v>45791</v>
      </c>
      <c r="C321" s="25" t="s">
        <v>16</v>
      </c>
      <c r="D321" s="25" t="s">
        <v>13</v>
      </c>
      <c r="E321" s="25" t="s">
        <v>14</v>
      </c>
      <c r="F321" s="25">
        <v>7</v>
      </c>
      <c r="G321" s="29">
        <v>234.8</v>
      </c>
      <c r="H321" s="27">
        <v>0.05</v>
      </c>
      <c r="I321" s="29">
        <v>1561.41</v>
      </c>
      <c r="J321" s="29">
        <v>803.25</v>
      </c>
      <c r="K321" s="29">
        <v>758.15</v>
      </c>
      <c r="L321" s="27">
        <f>(Table2[[#This Row],[Profit]]/Table2[[#This Row],[Revenue]])</f>
        <v>0.48555472297474717</v>
      </c>
    </row>
    <row r="322" spans="1:12" x14ac:dyDescent="0.3">
      <c r="A322" s="25" t="s">
        <v>346</v>
      </c>
      <c r="B322" s="26">
        <v>45745</v>
      </c>
      <c r="C322" s="25" t="s">
        <v>12</v>
      </c>
      <c r="D322" s="25" t="s">
        <v>33</v>
      </c>
      <c r="E322" s="25" t="s">
        <v>18</v>
      </c>
      <c r="F322" s="25">
        <v>10</v>
      </c>
      <c r="G322" s="29">
        <v>445.42</v>
      </c>
      <c r="H322" s="27">
        <v>0.1</v>
      </c>
      <c r="I322" s="29">
        <v>4008.76</v>
      </c>
      <c r="J322" s="29">
        <v>3111.64</v>
      </c>
      <c r="K322" s="29">
        <v>897.12</v>
      </c>
      <c r="L322" s="27">
        <f>(Table2[[#This Row],[Profit]]/Table2[[#This Row],[Revenue]])</f>
        <v>0.22378990011873995</v>
      </c>
    </row>
    <row r="323" spans="1:12" x14ac:dyDescent="0.3">
      <c r="A323" s="25" t="s">
        <v>347</v>
      </c>
      <c r="B323" s="26">
        <v>46011</v>
      </c>
      <c r="C323" s="25" t="s">
        <v>21</v>
      </c>
      <c r="D323" s="25" t="s">
        <v>13</v>
      </c>
      <c r="E323" s="25" t="s">
        <v>29</v>
      </c>
      <c r="F323" s="25">
        <v>8</v>
      </c>
      <c r="G323" s="29">
        <v>778.3</v>
      </c>
      <c r="H323" s="27">
        <v>0.1</v>
      </c>
      <c r="I323" s="29">
        <v>5603.73</v>
      </c>
      <c r="J323" s="29">
        <v>3145.8</v>
      </c>
      <c r="K323" s="29">
        <v>2457.9299999999998</v>
      </c>
      <c r="L323" s="27">
        <f>(Table2[[#This Row],[Profit]]/Table2[[#This Row],[Revenue]])</f>
        <v>0.43862391656985616</v>
      </c>
    </row>
    <row r="324" spans="1:12" x14ac:dyDescent="0.3">
      <c r="A324" s="25" t="s">
        <v>348</v>
      </c>
      <c r="B324" s="26">
        <v>45887</v>
      </c>
      <c r="C324" s="25" t="s">
        <v>28</v>
      </c>
      <c r="D324" s="25" t="s">
        <v>13</v>
      </c>
      <c r="E324" s="25" t="s">
        <v>34</v>
      </c>
      <c r="F324" s="25">
        <v>1</v>
      </c>
      <c r="G324" s="29">
        <v>155.52000000000001</v>
      </c>
      <c r="H324" s="27">
        <v>0</v>
      </c>
      <c r="I324" s="29">
        <v>155.52000000000001</v>
      </c>
      <c r="J324" s="29">
        <v>73</v>
      </c>
      <c r="K324" s="29">
        <v>82.52</v>
      </c>
      <c r="L324" s="27">
        <f>(Table2[[#This Row],[Profit]]/Table2[[#This Row],[Revenue]])</f>
        <v>0.53060699588477356</v>
      </c>
    </row>
    <row r="325" spans="1:12" x14ac:dyDescent="0.3">
      <c r="A325" s="25" t="s">
        <v>349</v>
      </c>
      <c r="B325" s="26">
        <v>45951</v>
      </c>
      <c r="C325" s="25" t="s">
        <v>28</v>
      </c>
      <c r="D325" s="25" t="s">
        <v>17</v>
      </c>
      <c r="E325" s="25" t="s">
        <v>18</v>
      </c>
      <c r="F325" s="25">
        <v>1</v>
      </c>
      <c r="G325" s="29">
        <v>246.98</v>
      </c>
      <c r="H325" s="27">
        <v>0</v>
      </c>
      <c r="I325" s="29">
        <v>246.98</v>
      </c>
      <c r="J325" s="29">
        <v>156.57</v>
      </c>
      <c r="K325" s="29">
        <v>90.41</v>
      </c>
      <c r="L325" s="27">
        <f>(Table2[[#This Row],[Profit]]/Table2[[#This Row],[Revenue]])</f>
        <v>0.36606202931411452</v>
      </c>
    </row>
    <row r="326" spans="1:12" x14ac:dyDescent="0.3">
      <c r="A326" s="25" t="s">
        <v>350</v>
      </c>
      <c r="B326" s="26">
        <v>45723</v>
      </c>
      <c r="C326" s="25" t="s">
        <v>21</v>
      </c>
      <c r="D326" s="25" t="s">
        <v>33</v>
      </c>
      <c r="E326" s="25" t="s">
        <v>31</v>
      </c>
      <c r="F326" s="25">
        <v>3</v>
      </c>
      <c r="G326" s="29">
        <v>737.67</v>
      </c>
      <c r="H326" s="27">
        <v>0.05</v>
      </c>
      <c r="I326" s="29">
        <v>2102.36</v>
      </c>
      <c r="J326" s="29">
        <v>1246.8399999999999</v>
      </c>
      <c r="K326" s="29">
        <v>855.52</v>
      </c>
      <c r="L326" s="27">
        <f>(Table2[[#This Row],[Profit]]/Table2[[#This Row],[Revenue]])</f>
        <v>0.40693316082878284</v>
      </c>
    </row>
    <row r="327" spans="1:12" x14ac:dyDescent="0.3">
      <c r="A327" s="25" t="s">
        <v>351</v>
      </c>
      <c r="B327" s="26">
        <v>45949</v>
      </c>
      <c r="C327" s="25" t="s">
        <v>21</v>
      </c>
      <c r="D327" s="25" t="s">
        <v>17</v>
      </c>
      <c r="E327" s="25" t="s">
        <v>26</v>
      </c>
      <c r="F327" s="25">
        <v>8</v>
      </c>
      <c r="G327" s="29">
        <v>294.95</v>
      </c>
      <c r="H327" s="27">
        <v>0</v>
      </c>
      <c r="I327" s="29">
        <v>2359.63</v>
      </c>
      <c r="J327" s="29">
        <v>1125.31</v>
      </c>
      <c r="K327" s="29">
        <v>1234.32</v>
      </c>
      <c r="L327" s="27">
        <f>(Table2[[#This Row],[Profit]]/Table2[[#This Row],[Revenue]])</f>
        <v>0.52309896043023685</v>
      </c>
    </row>
    <row r="328" spans="1:12" x14ac:dyDescent="0.3">
      <c r="A328" s="25" t="s">
        <v>352</v>
      </c>
      <c r="B328" s="26">
        <v>45953</v>
      </c>
      <c r="C328" s="25" t="s">
        <v>12</v>
      </c>
      <c r="D328" s="25" t="s">
        <v>13</v>
      </c>
      <c r="E328" s="25" t="s">
        <v>31</v>
      </c>
      <c r="F328" s="25">
        <v>3</v>
      </c>
      <c r="G328" s="29">
        <v>549.16999999999996</v>
      </c>
      <c r="H328" s="27">
        <v>0.05</v>
      </c>
      <c r="I328" s="29">
        <v>1565.14</v>
      </c>
      <c r="J328" s="29">
        <v>1059.51</v>
      </c>
      <c r="K328" s="29">
        <v>505.62</v>
      </c>
      <c r="L328" s="27">
        <f>(Table2[[#This Row],[Profit]]/Table2[[#This Row],[Revenue]])</f>
        <v>0.32305097307589098</v>
      </c>
    </row>
    <row r="329" spans="1:12" x14ac:dyDescent="0.3">
      <c r="A329" s="25" t="s">
        <v>353</v>
      </c>
      <c r="B329" s="26">
        <v>46008</v>
      </c>
      <c r="C329" s="25" t="s">
        <v>12</v>
      </c>
      <c r="D329" s="25" t="s">
        <v>33</v>
      </c>
      <c r="E329" s="25" t="s">
        <v>26</v>
      </c>
      <c r="F329" s="25">
        <v>3</v>
      </c>
      <c r="G329" s="29">
        <v>134.08000000000001</v>
      </c>
      <c r="H329" s="27">
        <v>0.1</v>
      </c>
      <c r="I329" s="29">
        <v>362.02</v>
      </c>
      <c r="J329" s="29">
        <v>163.83000000000001</v>
      </c>
      <c r="K329" s="29">
        <v>198.19</v>
      </c>
      <c r="L329" s="27">
        <f>(Table2[[#This Row],[Profit]]/Table2[[#This Row],[Revenue]])</f>
        <v>0.54745594166068179</v>
      </c>
    </row>
    <row r="330" spans="1:12" x14ac:dyDescent="0.3">
      <c r="A330" s="25" t="s">
        <v>354</v>
      </c>
      <c r="B330" s="26">
        <v>45757</v>
      </c>
      <c r="C330" s="25" t="s">
        <v>16</v>
      </c>
      <c r="D330" s="25" t="s">
        <v>13</v>
      </c>
      <c r="E330" s="25" t="s">
        <v>31</v>
      </c>
      <c r="F330" s="25">
        <v>6</v>
      </c>
      <c r="G330" s="29">
        <v>304.93</v>
      </c>
      <c r="H330" s="27">
        <v>0.05</v>
      </c>
      <c r="I330" s="29">
        <v>1738.08</v>
      </c>
      <c r="J330" s="29">
        <v>1335.54</v>
      </c>
      <c r="K330" s="29">
        <v>402.54</v>
      </c>
      <c r="L330" s="27">
        <f>(Table2[[#This Row],[Profit]]/Table2[[#This Row],[Revenue]])</f>
        <v>0.23160038663352667</v>
      </c>
    </row>
    <row r="331" spans="1:12" x14ac:dyDescent="0.3">
      <c r="A331" s="25" t="s">
        <v>355</v>
      </c>
      <c r="B331" s="26">
        <v>45827</v>
      </c>
      <c r="C331" s="25" t="s">
        <v>12</v>
      </c>
      <c r="D331" s="25" t="s">
        <v>13</v>
      </c>
      <c r="E331" s="25" t="s">
        <v>26</v>
      </c>
      <c r="F331" s="25">
        <v>9</v>
      </c>
      <c r="G331" s="29">
        <v>749.97</v>
      </c>
      <c r="H331" s="27">
        <v>0.2</v>
      </c>
      <c r="I331" s="29">
        <v>5399.79</v>
      </c>
      <c r="J331" s="29">
        <v>3299.97</v>
      </c>
      <c r="K331" s="29">
        <v>2099.8200000000002</v>
      </c>
      <c r="L331" s="27">
        <f>(Table2[[#This Row],[Profit]]/Table2[[#This Row],[Revenue]])</f>
        <v>0.38887067830415628</v>
      </c>
    </row>
    <row r="332" spans="1:12" x14ac:dyDescent="0.3">
      <c r="A332" s="25" t="s">
        <v>356</v>
      </c>
      <c r="B332" s="26">
        <v>45907</v>
      </c>
      <c r="C332" s="25" t="s">
        <v>28</v>
      </c>
      <c r="D332" s="25" t="s">
        <v>17</v>
      </c>
      <c r="E332" s="25" t="s">
        <v>24</v>
      </c>
      <c r="F332" s="25">
        <v>10</v>
      </c>
      <c r="G332" s="29">
        <v>458.42</v>
      </c>
      <c r="H332" s="27">
        <v>0.05</v>
      </c>
      <c r="I332" s="29">
        <v>4354.97</v>
      </c>
      <c r="J332" s="29">
        <v>2419.13</v>
      </c>
      <c r="K332" s="29">
        <v>1935.84</v>
      </c>
      <c r="L332" s="27">
        <f>(Table2[[#This Row],[Profit]]/Table2[[#This Row],[Revenue]])</f>
        <v>0.44451282098384143</v>
      </c>
    </row>
    <row r="333" spans="1:12" x14ac:dyDescent="0.3">
      <c r="A333" s="25" t="s">
        <v>357</v>
      </c>
      <c r="B333" s="26">
        <v>45825</v>
      </c>
      <c r="C333" s="25" t="s">
        <v>16</v>
      </c>
      <c r="D333" s="25" t="s">
        <v>33</v>
      </c>
      <c r="E333" s="25" t="s">
        <v>26</v>
      </c>
      <c r="F333" s="25">
        <v>3</v>
      </c>
      <c r="G333" s="29">
        <v>637.23</v>
      </c>
      <c r="H333" s="27">
        <v>0.1</v>
      </c>
      <c r="I333" s="29">
        <v>1720.53</v>
      </c>
      <c r="J333" s="29">
        <v>1347.05</v>
      </c>
      <c r="K333" s="29">
        <v>373.47</v>
      </c>
      <c r="L333" s="27">
        <f>(Table2[[#This Row],[Profit]]/Table2[[#This Row],[Revenue]])</f>
        <v>0.2170668340569476</v>
      </c>
    </row>
    <row r="334" spans="1:12" x14ac:dyDescent="0.3">
      <c r="A334" s="25" t="s">
        <v>358</v>
      </c>
      <c r="B334" s="26">
        <v>45950</v>
      </c>
      <c r="C334" s="25" t="s">
        <v>12</v>
      </c>
      <c r="D334" s="25" t="s">
        <v>17</v>
      </c>
      <c r="E334" s="25" t="s">
        <v>31</v>
      </c>
      <c r="F334" s="25">
        <v>4</v>
      </c>
      <c r="G334" s="29">
        <v>703.1</v>
      </c>
      <c r="H334" s="27">
        <v>0.05</v>
      </c>
      <c r="I334" s="29">
        <v>2671.8</v>
      </c>
      <c r="J334" s="29">
        <v>1841.77</v>
      </c>
      <c r="K334" s="29">
        <v>830.03</v>
      </c>
      <c r="L334" s="27">
        <f>(Table2[[#This Row],[Profit]]/Table2[[#This Row],[Revenue]])</f>
        <v>0.31066322329515678</v>
      </c>
    </row>
    <row r="335" spans="1:12" x14ac:dyDescent="0.3">
      <c r="A335" s="25" t="s">
        <v>359</v>
      </c>
      <c r="B335" s="26">
        <v>46008</v>
      </c>
      <c r="C335" s="25" t="s">
        <v>12</v>
      </c>
      <c r="D335" s="25" t="s">
        <v>17</v>
      </c>
      <c r="E335" s="25" t="s">
        <v>26</v>
      </c>
      <c r="F335" s="25">
        <v>7</v>
      </c>
      <c r="G335" s="29">
        <v>68.900000000000006</v>
      </c>
      <c r="H335" s="27">
        <v>0.05</v>
      </c>
      <c r="I335" s="29">
        <v>458.2</v>
      </c>
      <c r="J335" s="29">
        <v>359.32</v>
      </c>
      <c r="K335" s="29">
        <v>98.88</v>
      </c>
      <c r="L335" s="27">
        <f>(Table2[[#This Row],[Profit]]/Table2[[#This Row],[Revenue]])</f>
        <v>0.215800960279354</v>
      </c>
    </row>
    <row r="336" spans="1:12" x14ac:dyDescent="0.3">
      <c r="A336" s="25" t="s">
        <v>360</v>
      </c>
      <c r="B336" s="26">
        <v>45819</v>
      </c>
      <c r="C336" s="25" t="s">
        <v>21</v>
      </c>
      <c r="D336" s="25" t="s">
        <v>17</v>
      </c>
      <c r="E336" s="25" t="s">
        <v>24</v>
      </c>
      <c r="F336" s="25">
        <v>9</v>
      </c>
      <c r="G336" s="29">
        <v>619.21</v>
      </c>
      <c r="H336" s="27">
        <v>0.15</v>
      </c>
      <c r="I336" s="29">
        <v>4736.99</v>
      </c>
      <c r="J336" s="29">
        <v>3356.01</v>
      </c>
      <c r="K336" s="29">
        <v>1380.98</v>
      </c>
      <c r="L336" s="27">
        <f>(Table2[[#This Row],[Profit]]/Table2[[#This Row],[Revenue]])</f>
        <v>0.29153111997280978</v>
      </c>
    </row>
    <row r="337" spans="1:12" x14ac:dyDescent="0.3">
      <c r="A337" s="25" t="s">
        <v>361</v>
      </c>
      <c r="B337" s="26">
        <v>45786</v>
      </c>
      <c r="C337" s="25" t="s">
        <v>28</v>
      </c>
      <c r="D337" s="25" t="s">
        <v>13</v>
      </c>
      <c r="E337" s="25" t="s">
        <v>34</v>
      </c>
      <c r="F337" s="25">
        <v>6</v>
      </c>
      <c r="G337" s="29">
        <v>68.06</v>
      </c>
      <c r="H337" s="27">
        <v>0</v>
      </c>
      <c r="I337" s="29">
        <v>408.36</v>
      </c>
      <c r="J337" s="29">
        <v>279.06</v>
      </c>
      <c r="K337" s="29">
        <v>129.29</v>
      </c>
      <c r="L337" s="27">
        <f>(Table2[[#This Row],[Profit]]/Table2[[#This Row],[Revenue]])</f>
        <v>0.31660789499461256</v>
      </c>
    </row>
    <row r="338" spans="1:12" x14ac:dyDescent="0.3">
      <c r="A338" s="25" t="s">
        <v>362</v>
      </c>
      <c r="B338" s="26">
        <v>46007</v>
      </c>
      <c r="C338" s="25" t="s">
        <v>12</v>
      </c>
      <c r="D338" s="25" t="s">
        <v>17</v>
      </c>
      <c r="E338" s="25" t="s">
        <v>34</v>
      </c>
      <c r="F338" s="25">
        <v>7</v>
      </c>
      <c r="G338" s="29">
        <v>794.63</v>
      </c>
      <c r="H338" s="27">
        <v>0.05</v>
      </c>
      <c r="I338" s="29">
        <v>5284.32</v>
      </c>
      <c r="J338" s="29">
        <v>2504.2199999999998</v>
      </c>
      <c r="K338" s="29">
        <v>2780.1</v>
      </c>
      <c r="L338" s="27">
        <f>(Table2[[#This Row],[Profit]]/Table2[[#This Row],[Revenue]])</f>
        <v>0.52610364247433916</v>
      </c>
    </row>
    <row r="339" spans="1:12" x14ac:dyDescent="0.3">
      <c r="A339" s="25" t="s">
        <v>363</v>
      </c>
      <c r="B339" s="26">
        <v>45959</v>
      </c>
      <c r="C339" s="25" t="s">
        <v>21</v>
      </c>
      <c r="D339" s="25" t="s">
        <v>17</v>
      </c>
      <c r="E339" s="25" t="s">
        <v>26</v>
      </c>
      <c r="F339" s="25">
        <v>7</v>
      </c>
      <c r="G339" s="29">
        <v>465.09</v>
      </c>
      <c r="H339" s="27">
        <v>0</v>
      </c>
      <c r="I339" s="29">
        <v>3255.61</v>
      </c>
      <c r="J339" s="29">
        <v>2293.63</v>
      </c>
      <c r="K339" s="29">
        <v>961.98</v>
      </c>
      <c r="L339" s="27">
        <f>(Table2[[#This Row],[Profit]]/Table2[[#This Row],[Revenue]])</f>
        <v>0.29548379566348548</v>
      </c>
    </row>
    <row r="340" spans="1:12" x14ac:dyDescent="0.3">
      <c r="A340" s="25" t="s">
        <v>364</v>
      </c>
      <c r="B340" s="26">
        <v>45717</v>
      </c>
      <c r="C340" s="25" t="s">
        <v>12</v>
      </c>
      <c r="D340" s="25" t="s">
        <v>17</v>
      </c>
      <c r="E340" s="25" t="s">
        <v>22</v>
      </c>
      <c r="F340" s="25">
        <v>6</v>
      </c>
      <c r="G340" s="29">
        <v>382.33</v>
      </c>
      <c r="H340" s="27">
        <v>0</v>
      </c>
      <c r="I340" s="29">
        <v>2293.96</v>
      </c>
      <c r="J340" s="29">
        <v>1372.56</v>
      </c>
      <c r="K340" s="29">
        <v>921.41</v>
      </c>
      <c r="L340" s="27">
        <f>(Table2[[#This Row],[Profit]]/Table2[[#This Row],[Revenue]])</f>
        <v>0.40166785820153794</v>
      </c>
    </row>
    <row r="341" spans="1:12" x14ac:dyDescent="0.3">
      <c r="A341" s="25" t="s">
        <v>365</v>
      </c>
      <c r="B341" s="26">
        <v>45751</v>
      </c>
      <c r="C341" s="25" t="s">
        <v>16</v>
      </c>
      <c r="D341" s="25" t="s">
        <v>13</v>
      </c>
      <c r="E341" s="25" t="s">
        <v>26</v>
      </c>
      <c r="F341" s="25">
        <v>8</v>
      </c>
      <c r="G341" s="29">
        <v>166.77</v>
      </c>
      <c r="H341" s="27">
        <v>0</v>
      </c>
      <c r="I341" s="29">
        <v>1334.12</v>
      </c>
      <c r="J341" s="29">
        <v>762.02</v>
      </c>
      <c r="K341" s="29">
        <v>572.1</v>
      </c>
      <c r="L341" s="27">
        <f>(Table2[[#This Row],[Profit]]/Table2[[#This Row],[Revenue]])</f>
        <v>0.4288219950229365</v>
      </c>
    </row>
    <row r="342" spans="1:12" x14ac:dyDescent="0.3">
      <c r="A342" s="25" t="s">
        <v>366</v>
      </c>
      <c r="B342" s="26">
        <v>45996</v>
      </c>
      <c r="C342" s="25" t="s">
        <v>12</v>
      </c>
      <c r="D342" s="25" t="s">
        <v>33</v>
      </c>
      <c r="E342" s="25" t="s">
        <v>14</v>
      </c>
      <c r="F342" s="25">
        <v>9</v>
      </c>
      <c r="G342" s="29">
        <v>614.11</v>
      </c>
      <c r="H342" s="27">
        <v>0.15</v>
      </c>
      <c r="I342" s="29">
        <v>4697.95</v>
      </c>
      <c r="J342" s="29">
        <v>2672.97</v>
      </c>
      <c r="K342" s="29">
        <v>2024.98</v>
      </c>
      <c r="L342" s="27">
        <f>(Table2[[#This Row],[Profit]]/Table2[[#This Row],[Revenue]])</f>
        <v>0.43103481305675884</v>
      </c>
    </row>
    <row r="343" spans="1:12" x14ac:dyDescent="0.3">
      <c r="A343" s="25" t="s">
        <v>367</v>
      </c>
      <c r="B343" s="26">
        <v>45922</v>
      </c>
      <c r="C343" s="25" t="s">
        <v>16</v>
      </c>
      <c r="D343" s="25" t="s">
        <v>33</v>
      </c>
      <c r="E343" s="25" t="s">
        <v>24</v>
      </c>
      <c r="F343" s="25">
        <v>9</v>
      </c>
      <c r="G343" s="29">
        <v>45.47</v>
      </c>
      <c r="H343" s="27">
        <v>0</v>
      </c>
      <c r="I343" s="29">
        <v>409.21</v>
      </c>
      <c r="J343" s="29">
        <v>219.85</v>
      </c>
      <c r="K343" s="29">
        <v>189.35</v>
      </c>
      <c r="L343" s="27">
        <f>(Table2[[#This Row],[Profit]]/Table2[[#This Row],[Revenue]])</f>
        <v>0.46272085237408667</v>
      </c>
    </row>
    <row r="344" spans="1:12" x14ac:dyDescent="0.3">
      <c r="A344" s="25" t="s">
        <v>368</v>
      </c>
      <c r="B344" s="26">
        <v>45729</v>
      </c>
      <c r="C344" s="25" t="s">
        <v>21</v>
      </c>
      <c r="D344" s="25" t="s">
        <v>17</v>
      </c>
      <c r="E344" s="25" t="s">
        <v>31</v>
      </c>
      <c r="F344" s="25">
        <v>7</v>
      </c>
      <c r="G344" s="29">
        <v>268.31</v>
      </c>
      <c r="H344" s="27">
        <v>0</v>
      </c>
      <c r="I344" s="29">
        <v>1878.2</v>
      </c>
      <c r="J344" s="29">
        <v>1225.1300000000001</v>
      </c>
      <c r="K344" s="29">
        <v>653.07000000000005</v>
      </c>
      <c r="L344" s="27">
        <f>(Table2[[#This Row],[Profit]]/Table2[[#This Row],[Revenue]])</f>
        <v>0.34771057395378557</v>
      </c>
    </row>
    <row r="345" spans="1:12" x14ac:dyDescent="0.3">
      <c r="A345" s="25" t="s">
        <v>369</v>
      </c>
      <c r="B345" s="26">
        <v>45804</v>
      </c>
      <c r="C345" s="25" t="s">
        <v>28</v>
      </c>
      <c r="D345" s="25" t="s">
        <v>33</v>
      </c>
      <c r="E345" s="25" t="s">
        <v>31</v>
      </c>
      <c r="F345" s="25">
        <v>8</v>
      </c>
      <c r="G345" s="29">
        <v>381.75</v>
      </c>
      <c r="H345" s="27">
        <v>0.05</v>
      </c>
      <c r="I345" s="29">
        <v>2901.31</v>
      </c>
      <c r="J345" s="29">
        <v>1660.94</v>
      </c>
      <c r="K345" s="29">
        <v>1240.3699999999999</v>
      </c>
      <c r="L345" s="27">
        <f>(Table2[[#This Row],[Profit]]/Table2[[#This Row],[Revenue]])</f>
        <v>0.42752067169657842</v>
      </c>
    </row>
    <row r="346" spans="1:12" x14ac:dyDescent="0.3">
      <c r="A346" s="25" t="s">
        <v>370</v>
      </c>
      <c r="B346" s="26">
        <v>45685</v>
      </c>
      <c r="C346" s="25" t="s">
        <v>21</v>
      </c>
      <c r="D346" s="25" t="s">
        <v>17</v>
      </c>
      <c r="E346" s="25" t="s">
        <v>18</v>
      </c>
      <c r="F346" s="25">
        <v>7</v>
      </c>
      <c r="G346" s="29">
        <v>526.12</v>
      </c>
      <c r="H346" s="27">
        <v>0.1</v>
      </c>
      <c r="I346" s="29">
        <v>3314.55</v>
      </c>
      <c r="J346" s="29">
        <v>1602.28</v>
      </c>
      <c r="K346" s="29">
        <v>1712.27</v>
      </c>
      <c r="L346" s="27">
        <f>(Table2[[#This Row],[Profit]]/Table2[[#This Row],[Revenue]])</f>
        <v>0.51659199589687887</v>
      </c>
    </row>
    <row r="347" spans="1:12" x14ac:dyDescent="0.3">
      <c r="A347" s="25" t="s">
        <v>371</v>
      </c>
      <c r="B347" s="26">
        <v>45707</v>
      </c>
      <c r="C347" s="25" t="s">
        <v>16</v>
      </c>
      <c r="D347" s="25" t="s">
        <v>13</v>
      </c>
      <c r="E347" s="25" t="s">
        <v>22</v>
      </c>
      <c r="F347" s="25">
        <v>8</v>
      </c>
      <c r="G347" s="29">
        <v>510.35</v>
      </c>
      <c r="H347" s="27">
        <v>0.2</v>
      </c>
      <c r="I347" s="29">
        <v>3266.25</v>
      </c>
      <c r="J347" s="29">
        <v>1487.74</v>
      </c>
      <c r="K347" s="29">
        <v>1778.51</v>
      </c>
      <c r="L347" s="27">
        <f>(Table2[[#This Row],[Profit]]/Table2[[#This Row],[Revenue]])</f>
        <v>0.54451128970531959</v>
      </c>
    </row>
    <row r="348" spans="1:12" x14ac:dyDescent="0.3">
      <c r="A348" s="25" t="s">
        <v>372</v>
      </c>
      <c r="B348" s="26">
        <v>45865</v>
      </c>
      <c r="C348" s="25" t="s">
        <v>12</v>
      </c>
      <c r="D348" s="25" t="s">
        <v>17</v>
      </c>
      <c r="E348" s="25" t="s">
        <v>34</v>
      </c>
      <c r="F348" s="25">
        <v>10</v>
      </c>
      <c r="G348" s="29">
        <v>264.68</v>
      </c>
      <c r="H348" s="27">
        <v>0.05</v>
      </c>
      <c r="I348" s="29">
        <v>2514.4699999999998</v>
      </c>
      <c r="J348" s="29">
        <v>1567.67</v>
      </c>
      <c r="K348" s="29">
        <v>946.8</v>
      </c>
      <c r="L348" s="27">
        <f>(Table2[[#This Row],[Profit]]/Table2[[#This Row],[Revenue]])</f>
        <v>0.37654058310498834</v>
      </c>
    </row>
    <row r="349" spans="1:12" x14ac:dyDescent="0.3">
      <c r="A349" s="25" t="s">
        <v>373</v>
      </c>
      <c r="B349" s="26">
        <v>45897</v>
      </c>
      <c r="C349" s="25" t="s">
        <v>16</v>
      </c>
      <c r="D349" s="25" t="s">
        <v>17</v>
      </c>
      <c r="E349" s="25" t="s">
        <v>31</v>
      </c>
      <c r="F349" s="25">
        <v>10</v>
      </c>
      <c r="G349" s="29">
        <v>448.82</v>
      </c>
      <c r="H349" s="27">
        <v>0.15</v>
      </c>
      <c r="I349" s="29">
        <v>3815</v>
      </c>
      <c r="J349" s="29">
        <v>2209.34</v>
      </c>
      <c r="K349" s="29">
        <v>1605.67</v>
      </c>
      <c r="L349" s="27">
        <f>(Table2[[#This Row],[Profit]]/Table2[[#This Row],[Revenue]])</f>
        <v>0.4208833551769332</v>
      </c>
    </row>
    <row r="350" spans="1:12" x14ac:dyDescent="0.3">
      <c r="A350" s="25" t="s">
        <v>374</v>
      </c>
      <c r="B350" s="26">
        <v>45807</v>
      </c>
      <c r="C350" s="25" t="s">
        <v>21</v>
      </c>
      <c r="D350" s="25" t="s">
        <v>13</v>
      </c>
      <c r="E350" s="25" t="s">
        <v>24</v>
      </c>
      <c r="F350" s="25">
        <v>4</v>
      </c>
      <c r="G350" s="29">
        <v>261.27</v>
      </c>
      <c r="H350" s="27">
        <v>0.1</v>
      </c>
      <c r="I350" s="29">
        <v>940.58</v>
      </c>
      <c r="J350" s="29">
        <v>678.66</v>
      </c>
      <c r="K350" s="29">
        <v>261.92</v>
      </c>
      <c r="L350" s="27">
        <f>(Table2[[#This Row],[Profit]]/Table2[[#This Row],[Revenue]])</f>
        <v>0.27846647813051523</v>
      </c>
    </row>
    <row r="351" spans="1:12" x14ac:dyDescent="0.3">
      <c r="A351" s="25" t="s">
        <v>375</v>
      </c>
      <c r="B351" s="26">
        <v>45950</v>
      </c>
      <c r="C351" s="25" t="s">
        <v>28</v>
      </c>
      <c r="D351" s="25" t="s">
        <v>13</v>
      </c>
      <c r="E351" s="25" t="s">
        <v>14</v>
      </c>
      <c r="F351" s="25">
        <v>7</v>
      </c>
      <c r="G351" s="29">
        <v>20.39</v>
      </c>
      <c r="H351" s="27">
        <v>0.15</v>
      </c>
      <c r="I351" s="29">
        <v>121.31</v>
      </c>
      <c r="J351" s="29">
        <v>69.510000000000005</v>
      </c>
      <c r="K351" s="29">
        <v>51.8</v>
      </c>
      <c r="L351" s="27">
        <f>(Table2[[#This Row],[Profit]]/Table2[[#This Row],[Revenue]])</f>
        <v>0.42700519330640507</v>
      </c>
    </row>
    <row r="352" spans="1:12" x14ac:dyDescent="0.3">
      <c r="A352" s="25" t="s">
        <v>376</v>
      </c>
      <c r="B352" s="26">
        <v>45984</v>
      </c>
      <c r="C352" s="25" t="s">
        <v>12</v>
      </c>
      <c r="D352" s="25" t="s">
        <v>17</v>
      </c>
      <c r="E352" s="25" t="s">
        <v>31</v>
      </c>
      <c r="F352" s="25">
        <v>2</v>
      </c>
      <c r="G352" s="29">
        <v>66.33</v>
      </c>
      <c r="H352" s="27">
        <v>0.1</v>
      </c>
      <c r="I352" s="29">
        <v>119.4</v>
      </c>
      <c r="J352" s="29">
        <v>80.790000000000006</v>
      </c>
      <c r="K352" s="29">
        <v>38.61</v>
      </c>
      <c r="L352" s="27">
        <f>(Table2[[#This Row],[Profit]]/Table2[[#This Row],[Revenue]])</f>
        <v>0.32336683417085427</v>
      </c>
    </row>
    <row r="353" spans="1:12" x14ac:dyDescent="0.3">
      <c r="A353" s="25" t="s">
        <v>377</v>
      </c>
      <c r="B353" s="26">
        <v>45805</v>
      </c>
      <c r="C353" s="25" t="s">
        <v>16</v>
      </c>
      <c r="D353" s="25" t="s">
        <v>33</v>
      </c>
      <c r="E353" s="25" t="s">
        <v>29</v>
      </c>
      <c r="F353" s="25">
        <v>8</v>
      </c>
      <c r="G353" s="29">
        <v>64.930000000000007</v>
      </c>
      <c r="H353" s="27">
        <v>0</v>
      </c>
      <c r="I353" s="29">
        <v>519.47</v>
      </c>
      <c r="J353" s="29">
        <v>242.99</v>
      </c>
      <c r="K353" s="29">
        <v>276.48</v>
      </c>
      <c r="L353" s="27">
        <f>(Table2[[#This Row],[Profit]]/Table2[[#This Row],[Revenue]])</f>
        <v>0.53223477775424954</v>
      </c>
    </row>
    <row r="354" spans="1:12" x14ac:dyDescent="0.3">
      <c r="A354" s="25" t="s">
        <v>378</v>
      </c>
      <c r="B354" s="26">
        <v>45961</v>
      </c>
      <c r="C354" s="25" t="s">
        <v>16</v>
      </c>
      <c r="D354" s="25" t="s">
        <v>33</v>
      </c>
      <c r="E354" s="25" t="s">
        <v>14</v>
      </c>
      <c r="F354" s="25">
        <v>11</v>
      </c>
      <c r="G354" s="29">
        <v>600.70000000000005</v>
      </c>
      <c r="H354" s="27">
        <v>0.05</v>
      </c>
      <c r="I354" s="29">
        <v>6277.27</v>
      </c>
      <c r="J354" s="29">
        <v>4877.45</v>
      </c>
      <c r="K354" s="29">
        <v>1399.83</v>
      </c>
      <c r="L354" s="27">
        <f>(Table2[[#This Row],[Profit]]/Table2[[#This Row],[Revenue]])</f>
        <v>0.22299980724104584</v>
      </c>
    </row>
    <row r="355" spans="1:12" x14ac:dyDescent="0.3">
      <c r="A355" s="25" t="s">
        <v>379</v>
      </c>
      <c r="B355" s="26">
        <v>46005</v>
      </c>
      <c r="C355" s="25" t="s">
        <v>28</v>
      </c>
      <c r="D355" s="25" t="s">
        <v>33</v>
      </c>
      <c r="E355" s="25" t="s">
        <v>29</v>
      </c>
      <c r="F355" s="25">
        <v>3</v>
      </c>
      <c r="G355" s="29">
        <v>430.49</v>
      </c>
      <c r="H355" s="27">
        <v>0.2</v>
      </c>
      <c r="I355" s="29">
        <v>1033.17</v>
      </c>
      <c r="J355" s="29">
        <v>681.19</v>
      </c>
      <c r="K355" s="29">
        <v>351.97</v>
      </c>
      <c r="L355" s="27">
        <f>(Table2[[#This Row],[Profit]]/Table2[[#This Row],[Revenue]])</f>
        <v>0.34066997686731126</v>
      </c>
    </row>
    <row r="356" spans="1:12" x14ac:dyDescent="0.3">
      <c r="A356" s="25" t="s">
        <v>380</v>
      </c>
      <c r="B356" s="26">
        <v>45765</v>
      </c>
      <c r="C356" s="25" t="s">
        <v>12</v>
      </c>
      <c r="D356" s="25" t="s">
        <v>13</v>
      </c>
      <c r="E356" s="25" t="s">
        <v>18</v>
      </c>
      <c r="F356" s="25">
        <v>8</v>
      </c>
      <c r="G356" s="29">
        <v>109.73</v>
      </c>
      <c r="H356" s="27">
        <v>0.05</v>
      </c>
      <c r="I356" s="29">
        <v>833.92</v>
      </c>
      <c r="J356" s="29">
        <v>525.16</v>
      </c>
      <c r="K356" s="29">
        <v>308.77</v>
      </c>
      <c r="L356" s="27">
        <f>(Table2[[#This Row],[Profit]]/Table2[[#This Row],[Revenue]])</f>
        <v>0.37026333461243283</v>
      </c>
    </row>
    <row r="357" spans="1:12" x14ac:dyDescent="0.3">
      <c r="A357" s="25" t="s">
        <v>381</v>
      </c>
      <c r="B357" s="26">
        <v>45995</v>
      </c>
      <c r="C357" s="25" t="s">
        <v>28</v>
      </c>
      <c r="D357" s="25" t="s">
        <v>33</v>
      </c>
      <c r="E357" s="25" t="s">
        <v>24</v>
      </c>
      <c r="F357" s="25">
        <v>6</v>
      </c>
      <c r="G357" s="29">
        <v>415.44</v>
      </c>
      <c r="H357" s="27">
        <v>0</v>
      </c>
      <c r="I357" s="29">
        <v>2492.65</v>
      </c>
      <c r="J357" s="29">
        <v>1608.26</v>
      </c>
      <c r="K357" s="29">
        <v>884.4</v>
      </c>
      <c r="L357" s="27">
        <f>(Table2[[#This Row],[Profit]]/Table2[[#This Row],[Revenue]])</f>
        <v>0.35480312117625817</v>
      </c>
    </row>
    <row r="358" spans="1:12" x14ac:dyDescent="0.3">
      <c r="A358" s="25" t="s">
        <v>382</v>
      </c>
      <c r="B358" s="26">
        <v>45729</v>
      </c>
      <c r="C358" s="25" t="s">
        <v>12</v>
      </c>
      <c r="D358" s="25" t="s">
        <v>33</v>
      </c>
      <c r="E358" s="25" t="s">
        <v>31</v>
      </c>
      <c r="F358" s="25">
        <v>7</v>
      </c>
      <c r="G358" s="29">
        <v>803.01</v>
      </c>
      <c r="H358" s="27">
        <v>0</v>
      </c>
      <c r="I358" s="29">
        <v>5621.09</v>
      </c>
      <c r="J358" s="29">
        <v>3139.06</v>
      </c>
      <c r="K358" s="29">
        <v>2482.0300000000002</v>
      </c>
      <c r="L358" s="27">
        <f>(Table2[[#This Row],[Profit]]/Table2[[#This Row],[Revenue]])</f>
        <v>0.44155670875221714</v>
      </c>
    </row>
    <row r="359" spans="1:12" x14ac:dyDescent="0.3">
      <c r="A359" s="25" t="s">
        <v>383</v>
      </c>
      <c r="B359" s="26">
        <v>45665</v>
      </c>
      <c r="C359" s="25" t="s">
        <v>12</v>
      </c>
      <c r="D359" s="25" t="s">
        <v>17</v>
      </c>
      <c r="E359" s="25" t="s">
        <v>29</v>
      </c>
      <c r="F359" s="25">
        <v>8</v>
      </c>
      <c r="G359" s="29">
        <v>411.35</v>
      </c>
      <c r="H359" s="27">
        <v>0.1</v>
      </c>
      <c r="I359" s="29">
        <v>2961.71</v>
      </c>
      <c r="J359" s="29">
        <v>1604.32</v>
      </c>
      <c r="K359" s="29">
        <v>1357.38</v>
      </c>
      <c r="L359" s="27">
        <f>(Table2[[#This Row],[Profit]]/Table2[[#This Row],[Revenue]])</f>
        <v>0.45830955765419307</v>
      </c>
    </row>
    <row r="360" spans="1:12" x14ac:dyDescent="0.3">
      <c r="A360" s="25" t="s">
        <v>384</v>
      </c>
      <c r="B360" s="26">
        <v>45777</v>
      </c>
      <c r="C360" s="25" t="s">
        <v>28</v>
      </c>
      <c r="D360" s="25" t="s">
        <v>13</v>
      </c>
      <c r="E360" s="25" t="s">
        <v>14</v>
      </c>
      <c r="F360" s="25">
        <v>11</v>
      </c>
      <c r="G360" s="29">
        <v>567.45000000000005</v>
      </c>
      <c r="H360" s="27">
        <v>0.15</v>
      </c>
      <c r="I360" s="29">
        <v>5305.67</v>
      </c>
      <c r="J360" s="29">
        <v>4074.46</v>
      </c>
      <c r="K360" s="29">
        <v>1231.21</v>
      </c>
      <c r="L360" s="27">
        <f>(Table2[[#This Row],[Profit]]/Table2[[#This Row],[Revenue]])</f>
        <v>0.23205551796474339</v>
      </c>
    </row>
    <row r="361" spans="1:12" x14ac:dyDescent="0.3">
      <c r="A361" s="25" t="s">
        <v>385</v>
      </c>
      <c r="B361" s="26">
        <v>45995</v>
      </c>
      <c r="C361" s="25" t="s">
        <v>12</v>
      </c>
      <c r="D361" s="25" t="s">
        <v>13</v>
      </c>
      <c r="E361" s="25" t="s">
        <v>26</v>
      </c>
      <c r="F361" s="25">
        <v>5</v>
      </c>
      <c r="G361" s="29">
        <v>702.36</v>
      </c>
      <c r="H361" s="27">
        <v>0.05</v>
      </c>
      <c r="I361" s="29">
        <v>3336.19</v>
      </c>
      <c r="J361" s="29">
        <v>2594.39</v>
      </c>
      <c r="K361" s="29">
        <v>741.8</v>
      </c>
      <c r="L361" s="27">
        <f>(Table2[[#This Row],[Profit]]/Table2[[#This Row],[Revenue]])</f>
        <v>0.22234944652432864</v>
      </c>
    </row>
    <row r="362" spans="1:12" x14ac:dyDescent="0.3">
      <c r="A362" s="25" t="s">
        <v>386</v>
      </c>
      <c r="B362" s="26">
        <v>45907</v>
      </c>
      <c r="C362" s="25" t="s">
        <v>28</v>
      </c>
      <c r="D362" s="25" t="s">
        <v>33</v>
      </c>
      <c r="E362" s="25" t="s">
        <v>26</v>
      </c>
      <c r="F362" s="25">
        <v>7</v>
      </c>
      <c r="G362" s="29">
        <v>231.23</v>
      </c>
      <c r="H362" s="27">
        <v>0.05</v>
      </c>
      <c r="I362" s="29">
        <v>1537.7</v>
      </c>
      <c r="J362" s="29">
        <v>1038.47</v>
      </c>
      <c r="K362" s="29">
        <v>499.23</v>
      </c>
      <c r="L362" s="27">
        <f>(Table2[[#This Row],[Profit]]/Table2[[#This Row],[Revenue]])</f>
        <v>0.32466020680236718</v>
      </c>
    </row>
    <row r="363" spans="1:12" x14ac:dyDescent="0.3">
      <c r="A363" s="25" t="s">
        <v>387</v>
      </c>
      <c r="B363" s="26">
        <v>45938</v>
      </c>
      <c r="C363" s="25" t="s">
        <v>21</v>
      </c>
      <c r="D363" s="25" t="s">
        <v>17</v>
      </c>
      <c r="E363" s="25" t="s">
        <v>24</v>
      </c>
      <c r="F363" s="25">
        <v>9</v>
      </c>
      <c r="G363" s="29">
        <v>390.96</v>
      </c>
      <c r="H363" s="27">
        <v>0.1</v>
      </c>
      <c r="I363" s="29">
        <v>3166.75</v>
      </c>
      <c r="J363" s="29">
        <v>1505.02</v>
      </c>
      <c r="K363" s="29">
        <v>1661.73</v>
      </c>
      <c r="L363" s="27">
        <f>(Table2[[#This Row],[Profit]]/Table2[[#This Row],[Revenue]])</f>
        <v>0.5247430330780769</v>
      </c>
    </row>
    <row r="364" spans="1:12" x14ac:dyDescent="0.3">
      <c r="A364" s="25" t="s">
        <v>388</v>
      </c>
      <c r="B364" s="26">
        <v>45997</v>
      </c>
      <c r="C364" s="25" t="s">
        <v>21</v>
      </c>
      <c r="D364" s="25" t="s">
        <v>33</v>
      </c>
      <c r="E364" s="25" t="s">
        <v>29</v>
      </c>
      <c r="F364" s="25">
        <v>6</v>
      </c>
      <c r="G364" s="29">
        <v>491.51</v>
      </c>
      <c r="H364" s="27">
        <v>0.15</v>
      </c>
      <c r="I364" s="29">
        <v>2506.69</v>
      </c>
      <c r="J364" s="29">
        <v>1420.19</v>
      </c>
      <c r="K364" s="29">
        <v>1086.5</v>
      </c>
      <c r="L364" s="27">
        <f>(Table2[[#This Row],[Profit]]/Table2[[#This Row],[Revenue]])</f>
        <v>0.4334401142542556</v>
      </c>
    </row>
    <row r="365" spans="1:12" x14ac:dyDescent="0.3">
      <c r="A365" s="25" t="s">
        <v>389</v>
      </c>
      <c r="B365" s="26">
        <v>45861</v>
      </c>
      <c r="C365" s="25" t="s">
        <v>21</v>
      </c>
      <c r="D365" s="25" t="s">
        <v>33</v>
      </c>
      <c r="E365" s="25" t="s">
        <v>18</v>
      </c>
      <c r="F365" s="25">
        <v>11</v>
      </c>
      <c r="G365" s="29">
        <v>814.41</v>
      </c>
      <c r="H365" s="27">
        <v>0.2</v>
      </c>
      <c r="I365" s="29">
        <v>7166.78</v>
      </c>
      <c r="J365" s="29">
        <v>3623.59</v>
      </c>
      <c r="K365" s="29">
        <v>3543.19</v>
      </c>
      <c r="L365" s="27">
        <f>(Table2[[#This Row],[Profit]]/Table2[[#This Row],[Revenue]])</f>
        <v>0.49439078637826195</v>
      </c>
    </row>
    <row r="366" spans="1:12" x14ac:dyDescent="0.3">
      <c r="A366" s="25" t="s">
        <v>390</v>
      </c>
      <c r="B366" s="26">
        <v>46013</v>
      </c>
      <c r="C366" s="25" t="s">
        <v>21</v>
      </c>
      <c r="D366" s="25" t="s">
        <v>17</v>
      </c>
      <c r="E366" s="25" t="s">
        <v>31</v>
      </c>
      <c r="F366" s="25">
        <v>3</v>
      </c>
      <c r="G366" s="29">
        <v>534.66</v>
      </c>
      <c r="H366" s="27">
        <v>0</v>
      </c>
      <c r="I366" s="29">
        <v>1603.98</v>
      </c>
      <c r="J366" s="29">
        <v>1265.4100000000001</v>
      </c>
      <c r="K366" s="29">
        <v>338.57</v>
      </c>
      <c r="L366" s="27">
        <f>(Table2[[#This Row],[Profit]]/Table2[[#This Row],[Revenue]])</f>
        <v>0.21108118555094202</v>
      </c>
    </row>
    <row r="367" spans="1:12" x14ac:dyDescent="0.3">
      <c r="A367" s="25" t="s">
        <v>391</v>
      </c>
      <c r="B367" s="26">
        <v>45873</v>
      </c>
      <c r="C367" s="25" t="s">
        <v>21</v>
      </c>
      <c r="D367" s="25" t="s">
        <v>33</v>
      </c>
      <c r="E367" s="25" t="s">
        <v>29</v>
      </c>
      <c r="F367" s="25">
        <v>2</v>
      </c>
      <c r="G367" s="29">
        <v>422.8</v>
      </c>
      <c r="H367" s="27">
        <v>0.1</v>
      </c>
      <c r="I367" s="29">
        <v>761.04</v>
      </c>
      <c r="J367" s="29">
        <v>608.65</v>
      </c>
      <c r="K367" s="29">
        <v>152.38999999999999</v>
      </c>
      <c r="L367" s="27">
        <f>(Table2[[#This Row],[Profit]]/Table2[[#This Row],[Revenue]])</f>
        <v>0.20023914643119942</v>
      </c>
    </row>
    <row r="368" spans="1:12" x14ac:dyDescent="0.3">
      <c r="A368" s="25" t="s">
        <v>392</v>
      </c>
      <c r="B368" s="26">
        <v>46005</v>
      </c>
      <c r="C368" s="25" t="s">
        <v>12</v>
      </c>
      <c r="D368" s="25" t="s">
        <v>13</v>
      </c>
      <c r="E368" s="25" t="s">
        <v>14</v>
      </c>
      <c r="F368" s="25">
        <v>8</v>
      </c>
      <c r="G368" s="29">
        <v>694.38</v>
      </c>
      <c r="H368" s="27">
        <v>0</v>
      </c>
      <c r="I368" s="29">
        <v>5555.02</v>
      </c>
      <c r="J368" s="29">
        <v>3617.45</v>
      </c>
      <c r="K368" s="29">
        <v>1937.57</v>
      </c>
      <c r="L368" s="27">
        <f>(Table2[[#This Row],[Profit]]/Table2[[#This Row],[Revenue]])</f>
        <v>0.3487962239559893</v>
      </c>
    </row>
    <row r="369" spans="1:12" x14ac:dyDescent="0.3">
      <c r="A369" s="25" t="s">
        <v>393</v>
      </c>
      <c r="B369" s="26">
        <v>45714</v>
      </c>
      <c r="C369" s="25" t="s">
        <v>16</v>
      </c>
      <c r="D369" s="25" t="s">
        <v>13</v>
      </c>
      <c r="E369" s="25" t="s">
        <v>29</v>
      </c>
      <c r="F369" s="25">
        <v>9</v>
      </c>
      <c r="G369" s="29">
        <v>309.27</v>
      </c>
      <c r="H369" s="27">
        <v>0.1</v>
      </c>
      <c r="I369" s="29">
        <v>2505.1</v>
      </c>
      <c r="J369" s="29">
        <v>1150.47</v>
      </c>
      <c r="K369" s="29">
        <v>1354.63</v>
      </c>
      <c r="L369" s="27">
        <f>(Table2[[#This Row],[Profit]]/Table2[[#This Row],[Revenue]])</f>
        <v>0.54074887230050706</v>
      </c>
    </row>
    <row r="370" spans="1:12" x14ac:dyDescent="0.3">
      <c r="A370" s="25" t="s">
        <v>394</v>
      </c>
      <c r="B370" s="26">
        <v>45938</v>
      </c>
      <c r="C370" s="25" t="s">
        <v>28</v>
      </c>
      <c r="D370" s="25" t="s">
        <v>17</v>
      </c>
      <c r="E370" s="25" t="s">
        <v>18</v>
      </c>
      <c r="F370" s="25">
        <v>2</v>
      </c>
      <c r="G370" s="29">
        <v>712.87</v>
      </c>
      <c r="H370" s="27">
        <v>0</v>
      </c>
      <c r="I370" s="29">
        <v>1425.73</v>
      </c>
      <c r="J370" s="29">
        <v>1126.94</v>
      </c>
      <c r="K370" s="29">
        <v>298.79000000000002</v>
      </c>
      <c r="L370" s="27">
        <f>(Table2[[#This Row],[Profit]]/Table2[[#This Row],[Revenue]])</f>
        <v>0.20956983440062285</v>
      </c>
    </row>
    <row r="371" spans="1:12" x14ac:dyDescent="0.3">
      <c r="A371" s="25" t="s">
        <v>395</v>
      </c>
      <c r="B371" s="26">
        <v>45884</v>
      </c>
      <c r="C371" s="25" t="s">
        <v>21</v>
      </c>
      <c r="D371" s="25" t="s">
        <v>33</v>
      </c>
      <c r="E371" s="25" t="s">
        <v>24</v>
      </c>
      <c r="F371" s="25">
        <v>3</v>
      </c>
      <c r="G371" s="29">
        <v>116.1</v>
      </c>
      <c r="H371" s="27">
        <v>0</v>
      </c>
      <c r="I371" s="29">
        <v>348.31</v>
      </c>
      <c r="J371" s="29">
        <v>269.70999999999998</v>
      </c>
      <c r="K371" s="29">
        <v>78.61</v>
      </c>
      <c r="L371" s="27">
        <f>(Table2[[#This Row],[Profit]]/Table2[[#This Row],[Revenue]])</f>
        <v>0.22568975912262065</v>
      </c>
    </row>
    <row r="372" spans="1:12" x14ac:dyDescent="0.3">
      <c r="A372" s="25" t="s">
        <v>396</v>
      </c>
      <c r="B372" s="26">
        <v>45671</v>
      </c>
      <c r="C372" s="25" t="s">
        <v>28</v>
      </c>
      <c r="D372" s="25" t="s">
        <v>13</v>
      </c>
      <c r="E372" s="25" t="s">
        <v>26</v>
      </c>
      <c r="F372" s="25">
        <v>4</v>
      </c>
      <c r="G372" s="29">
        <v>534.02</v>
      </c>
      <c r="H372" s="27">
        <v>0.05</v>
      </c>
      <c r="I372" s="29">
        <v>2029.27</v>
      </c>
      <c r="J372" s="29">
        <v>1613.19</v>
      </c>
      <c r="K372" s="29">
        <v>416.07</v>
      </c>
      <c r="L372" s="27">
        <f>(Table2[[#This Row],[Profit]]/Table2[[#This Row],[Revenue]])</f>
        <v>0.20503432268746888</v>
      </c>
    </row>
    <row r="373" spans="1:12" x14ac:dyDescent="0.3">
      <c r="A373" s="25" t="s">
        <v>397</v>
      </c>
      <c r="B373" s="26">
        <v>45728</v>
      </c>
      <c r="C373" s="25" t="s">
        <v>28</v>
      </c>
      <c r="D373" s="25" t="s">
        <v>13</v>
      </c>
      <c r="E373" s="25" t="s">
        <v>31</v>
      </c>
      <c r="F373" s="25">
        <v>6</v>
      </c>
      <c r="G373" s="29">
        <v>58.42</v>
      </c>
      <c r="H373" s="27">
        <v>0.2</v>
      </c>
      <c r="I373" s="29">
        <v>280.43</v>
      </c>
      <c r="J373" s="29">
        <v>185.24</v>
      </c>
      <c r="K373" s="29">
        <v>95.19</v>
      </c>
      <c r="L373" s="27">
        <f>(Table2[[#This Row],[Profit]]/Table2[[#This Row],[Revenue]])</f>
        <v>0.33944299825268337</v>
      </c>
    </row>
    <row r="374" spans="1:12" x14ac:dyDescent="0.3">
      <c r="A374" s="25" t="s">
        <v>398</v>
      </c>
      <c r="B374" s="26">
        <v>45742</v>
      </c>
      <c r="C374" s="25" t="s">
        <v>16</v>
      </c>
      <c r="D374" s="25" t="s">
        <v>33</v>
      </c>
      <c r="E374" s="25" t="s">
        <v>31</v>
      </c>
      <c r="F374" s="25">
        <v>10</v>
      </c>
      <c r="G374" s="29">
        <v>225.92</v>
      </c>
      <c r="H374" s="27">
        <v>0.1</v>
      </c>
      <c r="I374" s="29">
        <v>2033.31</v>
      </c>
      <c r="J374" s="29">
        <v>1081.32</v>
      </c>
      <c r="K374" s="29">
        <v>951.99</v>
      </c>
      <c r="L374" s="27">
        <f>(Table2[[#This Row],[Profit]]/Table2[[#This Row],[Revenue]])</f>
        <v>0.46819717603316763</v>
      </c>
    </row>
    <row r="375" spans="1:12" x14ac:dyDescent="0.3">
      <c r="A375" s="25" t="s">
        <v>399</v>
      </c>
      <c r="B375" s="26">
        <v>45815</v>
      </c>
      <c r="C375" s="25" t="s">
        <v>28</v>
      </c>
      <c r="D375" s="25" t="s">
        <v>17</v>
      </c>
      <c r="E375" s="25" t="s">
        <v>14</v>
      </c>
      <c r="F375" s="25">
        <v>2</v>
      </c>
      <c r="G375" s="29">
        <v>377.75</v>
      </c>
      <c r="H375" s="27">
        <v>0.05</v>
      </c>
      <c r="I375" s="29">
        <v>717.72</v>
      </c>
      <c r="J375" s="29">
        <v>341.42</v>
      </c>
      <c r="K375" s="29">
        <v>376.3</v>
      </c>
      <c r="L375" s="27">
        <f>(Table2[[#This Row],[Profit]]/Table2[[#This Row],[Revenue]])</f>
        <v>0.52429916959259881</v>
      </c>
    </row>
    <row r="376" spans="1:12" x14ac:dyDescent="0.3">
      <c r="A376" s="25" t="s">
        <v>400</v>
      </c>
      <c r="B376" s="26">
        <v>45706</v>
      </c>
      <c r="C376" s="25" t="s">
        <v>28</v>
      </c>
      <c r="D376" s="25" t="s">
        <v>17</v>
      </c>
      <c r="E376" s="25" t="s">
        <v>24</v>
      </c>
      <c r="F376" s="25">
        <v>11</v>
      </c>
      <c r="G376" s="29">
        <v>342.28</v>
      </c>
      <c r="H376" s="27">
        <v>0.15</v>
      </c>
      <c r="I376" s="29">
        <v>3200.31</v>
      </c>
      <c r="J376" s="29">
        <v>2363.65</v>
      </c>
      <c r="K376" s="29">
        <v>836.66</v>
      </c>
      <c r="L376" s="27">
        <f>(Table2[[#This Row],[Profit]]/Table2[[#This Row],[Revenue]])</f>
        <v>0.26143092387924921</v>
      </c>
    </row>
    <row r="377" spans="1:12" x14ac:dyDescent="0.3">
      <c r="A377" s="25" t="s">
        <v>401</v>
      </c>
      <c r="B377" s="26">
        <v>45678</v>
      </c>
      <c r="C377" s="25" t="s">
        <v>28</v>
      </c>
      <c r="D377" s="25" t="s">
        <v>17</v>
      </c>
      <c r="E377" s="25" t="s">
        <v>26</v>
      </c>
      <c r="F377" s="25">
        <v>11</v>
      </c>
      <c r="G377" s="29">
        <v>603.74</v>
      </c>
      <c r="H377" s="27">
        <v>0</v>
      </c>
      <c r="I377" s="29">
        <v>6641.18</v>
      </c>
      <c r="J377" s="29">
        <v>4856.46</v>
      </c>
      <c r="K377" s="29">
        <v>1784.72</v>
      </c>
      <c r="L377" s="27">
        <f>(Table2[[#This Row],[Profit]]/Table2[[#This Row],[Revenue]])</f>
        <v>0.26873537533992453</v>
      </c>
    </row>
    <row r="378" spans="1:12" x14ac:dyDescent="0.3">
      <c r="A378" s="25" t="s">
        <v>402</v>
      </c>
      <c r="B378" s="26">
        <v>45951</v>
      </c>
      <c r="C378" s="25" t="s">
        <v>28</v>
      </c>
      <c r="D378" s="25" t="s">
        <v>13</v>
      </c>
      <c r="E378" s="25" t="s">
        <v>14</v>
      </c>
      <c r="F378" s="25">
        <v>2</v>
      </c>
      <c r="G378" s="29">
        <v>281.72000000000003</v>
      </c>
      <c r="H378" s="27">
        <v>0.1</v>
      </c>
      <c r="I378" s="29">
        <v>507.09</v>
      </c>
      <c r="J378" s="29">
        <v>235.28</v>
      </c>
      <c r="K378" s="29">
        <v>271.82</v>
      </c>
      <c r="L378" s="27">
        <f>(Table2[[#This Row],[Profit]]/Table2[[#This Row],[Revenue]])</f>
        <v>0.53603896744167701</v>
      </c>
    </row>
    <row r="379" spans="1:12" x14ac:dyDescent="0.3">
      <c r="A379" s="25" t="s">
        <v>403</v>
      </c>
      <c r="B379" s="26">
        <v>45914</v>
      </c>
      <c r="C379" s="25" t="s">
        <v>28</v>
      </c>
      <c r="D379" s="25" t="s">
        <v>33</v>
      </c>
      <c r="E379" s="25" t="s">
        <v>18</v>
      </c>
      <c r="F379" s="25">
        <v>2</v>
      </c>
      <c r="G379" s="29">
        <v>775.35</v>
      </c>
      <c r="H379" s="27">
        <v>0.1</v>
      </c>
      <c r="I379" s="29">
        <v>1395.63</v>
      </c>
      <c r="J379" s="29">
        <v>830.27</v>
      </c>
      <c r="K379" s="29">
        <v>565.36</v>
      </c>
      <c r="L379" s="27">
        <f>(Table2[[#This Row],[Profit]]/Table2[[#This Row],[Revenue]])</f>
        <v>0.40509304041902222</v>
      </c>
    </row>
    <row r="380" spans="1:12" x14ac:dyDescent="0.3">
      <c r="A380" s="25" t="s">
        <v>404</v>
      </c>
      <c r="B380" s="26">
        <v>45785</v>
      </c>
      <c r="C380" s="25" t="s">
        <v>12</v>
      </c>
      <c r="D380" s="25" t="s">
        <v>33</v>
      </c>
      <c r="E380" s="25" t="s">
        <v>24</v>
      </c>
      <c r="F380" s="25">
        <v>1</v>
      </c>
      <c r="G380" s="29">
        <v>882.03</v>
      </c>
      <c r="H380" s="27">
        <v>0.15</v>
      </c>
      <c r="I380" s="29">
        <v>749.72</v>
      </c>
      <c r="J380" s="29">
        <v>531.01</v>
      </c>
      <c r="K380" s="29">
        <v>218.71</v>
      </c>
      <c r="L380" s="27">
        <f>(Table2[[#This Row],[Profit]]/Table2[[#This Row],[Revenue]])</f>
        <v>0.29172224297070909</v>
      </c>
    </row>
    <row r="381" spans="1:12" x14ac:dyDescent="0.3">
      <c r="A381" s="25" t="s">
        <v>405</v>
      </c>
      <c r="B381" s="26">
        <v>45949</v>
      </c>
      <c r="C381" s="25" t="s">
        <v>12</v>
      </c>
      <c r="D381" s="25" t="s">
        <v>33</v>
      </c>
      <c r="E381" s="25" t="s">
        <v>34</v>
      </c>
      <c r="F381" s="25">
        <v>9</v>
      </c>
      <c r="G381" s="29">
        <v>315.02999999999997</v>
      </c>
      <c r="H381" s="27">
        <v>0.1</v>
      </c>
      <c r="I381" s="29">
        <v>2551.6999999999998</v>
      </c>
      <c r="J381" s="29">
        <v>1368.91</v>
      </c>
      <c r="K381" s="29">
        <v>1182.79</v>
      </c>
      <c r="L381" s="27">
        <f>(Table2[[#This Row],[Profit]]/Table2[[#This Row],[Revenue]])</f>
        <v>0.46353019555590391</v>
      </c>
    </row>
    <row r="382" spans="1:12" x14ac:dyDescent="0.3">
      <c r="A382" s="25" t="s">
        <v>406</v>
      </c>
      <c r="B382" s="26">
        <v>45892</v>
      </c>
      <c r="C382" s="25" t="s">
        <v>16</v>
      </c>
      <c r="D382" s="25" t="s">
        <v>13</v>
      </c>
      <c r="E382" s="25" t="s">
        <v>14</v>
      </c>
      <c r="F382" s="25">
        <v>10</v>
      </c>
      <c r="G382" s="29">
        <v>884.63</v>
      </c>
      <c r="H382" s="27">
        <v>0.05</v>
      </c>
      <c r="I382" s="29">
        <v>8404</v>
      </c>
      <c r="J382" s="29">
        <v>6099.28</v>
      </c>
      <c r="K382" s="29">
        <v>2304.7199999999998</v>
      </c>
      <c r="L382" s="27">
        <f>(Table2[[#This Row],[Profit]]/Table2[[#This Row],[Revenue]])</f>
        <v>0.27424083769633506</v>
      </c>
    </row>
    <row r="383" spans="1:12" x14ac:dyDescent="0.3">
      <c r="A383" s="25" t="s">
        <v>407</v>
      </c>
      <c r="B383" s="26">
        <v>45716</v>
      </c>
      <c r="C383" s="25" t="s">
        <v>28</v>
      </c>
      <c r="D383" s="25" t="s">
        <v>17</v>
      </c>
      <c r="E383" s="25" t="s">
        <v>34</v>
      </c>
      <c r="F383" s="25">
        <v>3</v>
      </c>
      <c r="G383" s="29">
        <v>258.02</v>
      </c>
      <c r="H383" s="27">
        <v>0.05</v>
      </c>
      <c r="I383" s="29">
        <v>735.36</v>
      </c>
      <c r="J383" s="29">
        <v>519.78</v>
      </c>
      <c r="K383" s="29">
        <v>215.59</v>
      </c>
      <c r="L383" s="27">
        <f>(Table2[[#This Row],[Profit]]/Table2[[#This Row],[Revenue]])</f>
        <v>0.29317613141862486</v>
      </c>
    </row>
    <row r="384" spans="1:12" x14ac:dyDescent="0.3">
      <c r="A384" s="25" t="s">
        <v>408</v>
      </c>
      <c r="B384" s="26">
        <v>45930</v>
      </c>
      <c r="C384" s="25" t="s">
        <v>21</v>
      </c>
      <c r="D384" s="25" t="s">
        <v>17</v>
      </c>
      <c r="E384" s="25" t="s">
        <v>22</v>
      </c>
      <c r="F384" s="25">
        <v>8</v>
      </c>
      <c r="G384" s="29">
        <v>16.82</v>
      </c>
      <c r="H384" s="27">
        <v>0.1</v>
      </c>
      <c r="I384" s="29">
        <v>121.12</v>
      </c>
      <c r="J384" s="29">
        <v>82.73</v>
      </c>
      <c r="K384" s="29">
        <v>38.39</v>
      </c>
      <c r="L384" s="27">
        <f>(Table2[[#This Row],[Profit]]/Table2[[#This Row],[Revenue]])</f>
        <v>0.3169583883751651</v>
      </c>
    </row>
    <row r="385" spans="1:12" x14ac:dyDescent="0.3">
      <c r="A385" s="25" t="s">
        <v>409</v>
      </c>
      <c r="B385" s="26">
        <v>45726</v>
      </c>
      <c r="C385" s="25" t="s">
        <v>21</v>
      </c>
      <c r="D385" s="25" t="s">
        <v>33</v>
      </c>
      <c r="E385" s="25" t="s">
        <v>14</v>
      </c>
      <c r="F385" s="25">
        <v>8</v>
      </c>
      <c r="G385" s="29">
        <v>295.22000000000003</v>
      </c>
      <c r="H385" s="27">
        <v>0</v>
      </c>
      <c r="I385" s="29">
        <v>2361.79</v>
      </c>
      <c r="J385" s="29">
        <v>1119.1300000000001</v>
      </c>
      <c r="K385" s="29">
        <v>1242.6600000000001</v>
      </c>
      <c r="L385" s="27">
        <f>(Table2[[#This Row],[Profit]]/Table2[[#This Row],[Revenue]])</f>
        <v>0.52615177471324714</v>
      </c>
    </row>
    <row r="386" spans="1:12" x14ac:dyDescent="0.3">
      <c r="A386" s="25" t="s">
        <v>410</v>
      </c>
      <c r="B386" s="26">
        <v>45865</v>
      </c>
      <c r="C386" s="25" t="s">
        <v>12</v>
      </c>
      <c r="D386" s="25" t="s">
        <v>17</v>
      </c>
      <c r="E386" s="25" t="s">
        <v>18</v>
      </c>
      <c r="F386" s="25">
        <v>11</v>
      </c>
      <c r="G386" s="29">
        <v>570.09</v>
      </c>
      <c r="H386" s="27">
        <v>0.15</v>
      </c>
      <c r="I386" s="29">
        <v>5330.37</v>
      </c>
      <c r="J386" s="29">
        <v>3938.25</v>
      </c>
      <c r="K386" s="29">
        <v>1392.12</v>
      </c>
      <c r="L386" s="27">
        <f>(Table2[[#This Row],[Profit]]/Table2[[#This Row],[Revenue]])</f>
        <v>0.26116761125400301</v>
      </c>
    </row>
    <row r="387" spans="1:12" x14ac:dyDescent="0.3">
      <c r="A387" s="25" t="s">
        <v>411</v>
      </c>
      <c r="B387" s="26">
        <v>46014</v>
      </c>
      <c r="C387" s="25" t="s">
        <v>21</v>
      </c>
      <c r="D387" s="25" t="s">
        <v>33</v>
      </c>
      <c r="E387" s="25" t="s">
        <v>31</v>
      </c>
      <c r="F387" s="25">
        <v>5</v>
      </c>
      <c r="G387" s="29">
        <v>532.65</v>
      </c>
      <c r="H387" s="27">
        <v>0.1</v>
      </c>
      <c r="I387" s="29">
        <v>2396.9</v>
      </c>
      <c r="J387" s="29">
        <v>1231.1300000000001</v>
      </c>
      <c r="K387" s="29">
        <v>1165.77</v>
      </c>
      <c r="L387" s="27">
        <f>(Table2[[#This Row],[Profit]]/Table2[[#This Row],[Revenue]])</f>
        <v>0.48636572239142223</v>
      </c>
    </row>
    <row r="388" spans="1:12" x14ac:dyDescent="0.3">
      <c r="A388" s="25" t="s">
        <v>412</v>
      </c>
      <c r="B388" s="26">
        <v>45738</v>
      </c>
      <c r="C388" s="25" t="s">
        <v>28</v>
      </c>
      <c r="D388" s="25" t="s">
        <v>33</v>
      </c>
      <c r="E388" s="25" t="s">
        <v>14</v>
      </c>
      <c r="F388" s="25">
        <v>11</v>
      </c>
      <c r="G388" s="29">
        <v>773.7</v>
      </c>
      <c r="H388" s="27">
        <v>0.2</v>
      </c>
      <c r="I388" s="29">
        <v>6808.54</v>
      </c>
      <c r="J388" s="29">
        <v>5047</v>
      </c>
      <c r="K388" s="29">
        <v>1761.54</v>
      </c>
      <c r="L388" s="27">
        <f>(Table2[[#This Row],[Profit]]/Table2[[#This Row],[Revenue]])</f>
        <v>0.25872507174812809</v>
      </c>
    </row>
    <row r="389" spans="1:12" x14ac:dyDescent="0.3">
      <c r="A389" s="25" t="s">
        <v>413</v>
      </c>
      <c r="B389" s="26">
        <v>45975</v>
      </c>
      <c r="C389" s="25" t="s">
        <v>28</v>
      </c>
      <c r="D389" s="25" t="s">
        <v>13</v>
      </c>
      <c r="E389" s="25" t="s">
        <v>18</v>
      </c>
      <c r="F389" s="25">
        <v>1</v>
      </c>
      <c r="G389" s="29">
        <v>109.77</v>
      </c>
      <c r="H389" s="27">
        <v>0.05</v>
      </c>
      <c r="I389" s="29">
        <v>104.28</v>
      </c>
      <c r="J389" s="29">
        <v>61.3</v>
      </c>
      <c r="K389" s="29">
        <v>42.98</v>
      </c>
      <c r="L389" s="27">
        <f>(Table2[[#This Row],[Profit]]/Table2[[#This Row],[Revenue]])</f>
        <v>0.41215957038741846</v>
      </c>
    </row>
    <row r="390" spans="1:12" x14ac:dyDescent="0.3">
      <c r="A390" s="25" t="s">
        <v>414</v>
      </c>
      <c r="B390" s="26">
        <v>45671</v>
      </c>
      <c r="C390" s="25" t="s">
        <v>21</v>
      </c>
      <c r="D390" s="25" t="s">
        <v>17</v>
      </c>
      <c r="E390" s="25" t="s">
        <v>26</v>
      </c>
      <c r="F390" s="25">
        <v>5</v>
      </c>
      <c r="G390" s="29">
        <v>377.6</v>
      </c>
      <c r="H390" s="27">
        <v>0.05</v>
      </c>
      <c r="I390" s="29">
        <v>1793.6</v>
      </c>
      <c r="J390" s="29">
        <v>1301.1300000000001</v>
      </c>
      <c r="K390" s="29">
        <v>492.47</v>
      </c>
      <c r="L390" s="27">
        <f>(Table2[[#This Row],[Profit]]/Table2[[#This Row],[Revenue]])</f>
        <v>0.27457069580731491</v>
      </c>
    </row>
    <row r="391" spans="1:12" x14ac:dyDescent="0.3">
      <c r="A391" s="25" t="s">
        <v>415</v>
      </c>
      <c r="B391" s="26">
        <v>45971</v>
      </c>
      <c r="C391" s="25" t="s">
        <v>12</v>
      </c>
      <c r="D391" s="25" t="s">
        <v>33</v>
      </c>
      <c r="E391" s="25" t="s">
        <v>31</v>
      </c>
      <c r="F391" s="25">
        <v>2</v>
      </c>
      <c r="G391" s="29">
        <v>123.73</v>
      </c>
      <c r="H391" s="27">
        <v>0.05</v>
      </c>
      <c r="I391" s="29">
        <v>235.09</v>
      </c>
      <c r="J391" s="29">
        <v>172.53</v>
      </c>
      <c r="K391" s="29">
        <v>62.56</v>
      </c>
      <c r="L391" s="27">
        <f>(Table2[[#This Row],[Profit]]/Table2[[#This Row],[Revenue]])</f>
        <v>0.26611085116338423</v>
      </c>
    </row>
    <row r="392" spans="1:12" x14ac:dyDescent="0.3">
      <c r="A392" s="25" t="s">
        <v>416</v>
      </c>
      <c r="B392" s="26">
        <v>45988</v>
      </c>
      <c r="C392" s="25" t="s">
        <v>28</v>
      </c>
      <c r="D392" s="25" t="s">
        <v>33</v>
      </c>
      <c r="E392" s="25" t="s">
        <v>26</v>
      </c>
      <c r="F392" s="25">
        <v>10</v>
      </c>
      <c r="G392" s="29">
        <v>795.01</v>
      </c>
      <c r="H392" s="27">
        <v>0.2</v>
      </c>
      <c r="I392" s="29">
        <v>6360.07</v>
      </c>
      <c r="J392" s="29">
        <v>4754.05</v>
      </c>
      <c r="K392" s="29">
        <v>1606.01</v>
      </c>
      <c r="L392" s="27">
        <f>(Table2[[#This Row],[Profit]]/Table2[[#This Row],[Revenue]])</f>
        <v>0.25251451634966282</v>
      </c>
    </row>
    <row r="393" spans="1:12" x14ac:dyDescent="0.3">
      <c r="A393" s="25" t="s">
        <v>417</v>
      </c>
      <c r="B393" s="26">
        <v>46018</v>
      </c>
      <c r="C393" s="25" t="s">
        <v>16</v>
      </c>
      <c r="D393" s="25" t="s">
        <v>13</v>
      </c>
      <c r="E393" s="25" t="s">
        <v>29</v>
      </c>
      <c r="F393" s="25">
        <v>10</v>
      </c>
      <c r="G393" s="29">
        <v>867.32</v>
      </c>
      <c r="H393" s="27">
        <v>0.1</v>
      </c>
      <c r="I393" s="29">
        <v>7805.88</v>
      </c>
      <c r="J393" s="29">
        <v>5092.7</v>
      </c>
      <c r="K393" s="29">
        <v>2713.19</v>
      </c>
      <c r="L393" s="27">
        <f>(Table2[[#This Row],[Profit]]/Table2[[#This Row],[Revenue]])</f>
        <v>0.34758284780191345</v>
      </c>
    </row>
    <row r="394" spans="1:12" x14ac:dyDescent="0.3">
      <c r="A394" s="25" t="s">
        <v>418</v>
      </c>
      <c r="B394" s="26">
        <v>45951</v>
      </c>
      <c r="C394" s="25" t="s">
        <v>21</v>
      </c>
      <c r="D394" s="25" t="s">
        <v>33</v>
      </c>
      <c r="E394" s="25" t="s">
        <v>14</v>
      </c>
      <c r="F394" s="25">
        <v>4</v>
      </c>
      <c r="G394" s="29">
        <v>583.79999999999995</v>
      </c>
      <c r="H394" s="27">
        <v>0.1</v>
      </c>
      <c r="I394" s="29">
        <v>2101.6799999999998</v>
      </c>
      <c r="J394" s="29">
        <v>1507.18</v>
      </c>
      <c r="K394" s="29">
        <v>594.5</v>
      </c>
      <c r="L394" s="27">
        <f>(Table2[[#This Row],[Profit]]/Table2[[#This Row],[Revenue]])</f>
        <v>0.28286894294088538</v>
      </c>
    </row>
    <row r="395" spans="1:12" x14ac:dyDescent="0.3">
      <c r="A395" s="25" t="s">
        <v>419</v>
      </c>
      <c r="B395" s="26">
        <v>45802</v>
      </c>
      <c r="C395" s="25" t="s">
        <v>16</v>
      </c>
      <c r="D395" s="25" t="s">
        <v>13</v>
      </c>
      <c r="E395" s="25" t="s">
        <v>29</v>
      </c>
      <c r="F395" s="25">
        <v>5</v>
      </c>
      <c r="G395" s="29">
        <v>807.72</v>
      </c>
      <c r="H395" s="27">
        <v>0.05</v>
      </c>
      <c r="I395" s="29">
        <v>3836.69</v>
      </c>
      <c r="J395" s="29">
        <v>2469.31</v>
      </c>
      <c r="K395" s="29">
        <v>1367.38</v>
      </c>
      <c r="L395" s="27">
        <f>(Table2[[#This Row],[Profit]]/Table2[[#This Row],[Revenue]])</f>
        <v>0.35639574737599339</v>
      </c>
    </row>
    <row r="396" spans="1:12" x14ac:dyDescent="0.3">
      <c r="A396" s="25" t="s">
        <v>420</v>
      </c>
      <c r="B396" s="26">
        <v>45791</v>
      </c>
      <c r="C396" s="25" t="s">
        <v>21</v>
      </c>
      <c r="D396" s="25" t="s">
        <v>33</v>
      </c>
      <c r="E396" s="25" t="s">
        <v>22</v>
      </c>
      <c r="F396" s="25">
        <v>9</v>
      </c>
      <c r="G396" s="29">
        <v>694.45</v>
      </c>
      <c r="H396" s="27">
        <v>0.05</v>
      </c>
      <c r="I396" s="29">
        <v>5937.59</v>
      </c>
      <c r="J396" s="29">
        <v>3663.39</v>
      </c>
      <c r="K396" s="29">
        <v>2274.1999999999998</v>
      </c>
      <c r="L396" s="27">
        <f>(Table2[[#This Row],[Profit]]/Table2[[#This Row],[Revenue]])</f>
        <v>0.3830173521580304</v>
      </c>
    </row>
    <row r="397" spans="1:12" x14ac:dyDescent="0.3">
      <c r="A397" s="25" t="s">
        <v>421</v>
      </c>
      <c r="B397" s="26">
        <v>45855</v>
      </c>
      <c r="C397" s="25" t="s">
        <v>12</v>
      </c>
      <c r="D397" s="25" t="s">
        <v>33</v>
      </c>
      <c r="E397" s="25" t="s">
        <v>24</v>
      </c>
      <c r="F397" s="25">
        <v>3</v>
      </c>
      <c r="G397" s="29">
        <v>85.61</v>
      </c>
      <c r="H397" s="27">
        <v>0</v>
      </c>
      <c r="I397" s="29">
        <v>256.83999999999997</v>
      </c>
      <c r="J397" s="29">
        <v>177.56</v>
      </c>
      <c r="K397" s="29">
        <v>79.290000000000006</v>
      </c>
      <c r="L397" s="27">
        <f>(Table2[[#This Row],[Profit]]/Table2[[#This Row],[Revenue]])</f>
        <v>0.30871359601308213</v>
      </c>
    </row>
    <row r="398" spans="1:12" x14ac:dyDescent="0.3">
      <c r="A398" s="25" t="s">
        <v>422</v>
      </c>
      <c r="B398" s="26">
        <v>45903</v>
      </c>
      <c r="C398" s="25" t="s">
        <v>16</v>
      </c>
      <c r="D398" s="25" t="s">
        <v>13</v>
      </c>
      <c r="E398" s="25" t="s">
        <v>34</v>
      </c>
      <c r="F398" s="25">
        <v>6</v>
      </c>
      <c r="G398" s="29">
        <v>33.54</v>
      </c>
      <c r="H398" s="27">
        <v>0</v>
      </c>
      <c r="I398" s="29">
        <v>201.23</v>
      </c>
      <c r="J398" s="29">
        <v>105.98</v>
      </c>
      <c r="K398" s="29">
        <v>95.24</v>
      </c>
      <c r="L398" s="27">
        <f>(Table2[[#This Row],[Profit]]/Table2[[#This Row],[Revenue]])</f>
        <v>0.47328927098345175</v>
      </c>
    </row>
    <row r="399" spans="1:12" x14ac:dyDescent="0.3">
      <c r="A399" s="25" t="s">
        <v>423</v>
      </c>
      <c r="B399" s="26">
        <v>45776</v>
      </c>
      <c r="C399" s="25" t="s">
        <v>21</v>
      </c>
      <c r="D399" s="25" t="s">
        <v>17</v>
      </c>
      <c r="E399" s="25" t="s">
        <v>18</v>
      </c>
      <c r="F399" s="25">
        <v>1</v>
      </c>
      <c r="G399" s="29">
        <v>807.72</v>
      </c>
      <c r="H399" s="27">
        <v>0</v>
      </c>
      <c r="I399" s="29">
        <v>807.72</v>
      </c>
      <c r="J399" s="29">
        <v>364.76</v>
      </c>
      <c r="K399" s="29">
        <v>442.96</v>
      </c>
      <c r="L399" s="27">
        <f>(Table2[[#This Row],[Profit]]/Table2[[#This Row],[Revenue]])</f>
        <v>0.54840786411132569</v>
      </c>
    </row>
    <row r="400" spans="1:12" x14ac:dyDescent="0.3">
      <c r="A400" s="25" t="s">
        <v>424</v>
      </c>
      <c r="B400" s="26">
        <v>45861</v>
      </c>
      <c r="C400" s="25" t="s">
        <v>28</v>
      </c>
      <c r="D400" s="25" t="s">
        <v>17</v>
      </c>
      <c r="E400" s="25" t="s">
        <v>24</v>
      </c>
      <c r="F400" s="25">
        <v>3</v>
      </c>
      <c r="G400" s="29">
        <v>142.75</v>
      </c>
      <c r="H400" s="27">
        <v>0</v>
      </c>
      <c r="I400" s="29">
        <v>428.25</v>
      </c>
      <c r="J400" s="29">
        <v>252.51</v>
      </c>
      <c r="K400" s="29">
        <v>175.74</v>
      </c>
      <c r="L400" s="27">
        <f>(Table2[[#This Row],[Profit]]/Table2[[#This Row],[Revenue]])</f>
        <v>0.41036777583187395</v>
      </c>
    </row>
    <row r="401" spans="1:12" x14ac:dyDescent="0.3">
      <c r="A401" s="25" t="s">
        <v>425</v>
      </c>
      <c r="B401" s="26">
        <v>45862</v>
      </c>
      <c r="C401" s="25" t="s">
        <v>16</v>
      </c>
      <c r="D401" s="25" t="s">
        <v>13</v>
      </c>
      <c r="E401" s="25" t="s">
        <v>24</v>
      </c>
      <c r="F401" s="25">
        <v>11</v>
      </c>
      <c r="G401" s="29">
        <v>105.32</v>
      </c>
      <c r="H401" s="27">
        <v>0</v>
      </c>
      <c r="I401" s="29">
        <v>1158.49</v>
      </c>
      <c r="J401" s="29">
        <v>663.84</v>
      </c>
      <c r="K401" s="29">
        <v>494.65</v>
      </c>
      <c r="L401" s="27">
        <f>(Table2[[#This Row],[Profit]]/Table2[[#This Row],[Revenue]])</f>
        <v>0.4269782216505969</v>
      </c>
    </row>
    <row r="402" spans="1:12" x14ac:dyDescent="0.3">
      <c r="A402" s="25" t="s">
        <v>426</v>
      </c>
      <c r="B402" s="26">
        <v>45865</v>
      </c>
      <c r="C402" s="25" t="s">
        <v>16</v>
      </c>
      <c r="D402" s="25" t="s">
        <v>33</v>
      </c>
      <c r="E402" s="25" t="s">
        <v>24</v>
      </c>
      <c r="F402" s="25">
        <v>2</v>
      </c>
      <c r="G402" s="29">
        <v>246.03</v>
      </c>
      <c r="H402" s="27">
        <v>0.15</v>
      </c>
      <c r="I402" s="29">
        <v>418.24</v>
      </c>
      <c r="J402" s="29">
        <v>289.3</v>
      </c>
      <c r="K402" s="29">
        <v>128.94</v>
      </c>
      <c r="L402" s="27">
        <f>(Table2[[#This Row],[Profit]]/Table2[[#This Row],[Revenue]])</f>
        <v>0.30829188982402445</v>
      </c>
    </row>
    <row r="403" spans="1:12" x14ac:dyDescent="0.3">
      <c r="A403" s="25" t="s">
        <v>427</v>
      </c>
      <c r="B403" s="26">
        <v>45776</v>
      </c>
      <c r="C403" s="25" t="s">
        <v>21</v>
      </c>
      <c r="D403" s="25" t="s">
        <v>33</v>
      </c>
      <c r="E403" s="25" t="s">
        <v>22</v>
      </c>
      <c r="F403" s="25">
        <v>5</v>
      </c>
      <c r="G403" s="29">
        <v>627.51</v>
      </c>
      <c r="H403" s="27">
        <v>0.1</v>
      </c>
      <c r="I403" s="29">
        <v>2823.8</v>
      </c>
      <c r="J403" s="29">
        <v>1892</v>
      </c>
      <c r="K403" s="29">
        <v>931.81</v>
      </c>
      <c r="L403" s="27">
        <f>(Table2[[#This Row],[Profit]]/Table2[[#This Row],[Revenue]])</f>
        <v>0.3299844181599263</v>
      </c>
    </row>
    <row r="404" spans="1:12" x14ac:dyDescent="0.3">
      <c r="A404" s="25" t="s">
        <v>428</v>
      </c>
      <c r="B404" s="26">
        <v>45941</v>
      </c>
      <c r="C404" s="25" t="s">
        <v>21</v>
      </c>
      <c r="D404" s="25" t="s">
        <v>17</v>
      </c>
      <c r="E404" s="25" t="s">
        <v>34</v>
      </c>
      <c r="F404" s="25">
        <v>3</v>
      </c>
      <c r="G404" s="29">
        <v>711.67</v>
      </c>
      <c r="H404" s="27">
        <v>0</v>
      </c>
      <c r="I404" s="29">
        <v>2135.0100000000002</v>
      </c>
      <c r="J404" s="29">
        <v>1562.8</v>
      </c>
      <c r="K404" s="29">
        <v>572.21</v>
      </c>
      <c r="L404" s="27">
        <f>(Table2[[#This Row],[Profit]]/Table2[[#This Row],[Revenue]])</f>
        <v>0.26801279619299206</v>
      </c>
    </row>
    <row r="405" spans="1:12" x14ac:dyDescent="0.3">
      <c r="A405" s="25" t="s">
        <v>429</v>
      </c>
      <c r="B405" s="26">
        <v>45901</v>
      </c>
      <c r="C405" s="25" t="s">
        <v>16</v>
      </c>
      <c r="D405" s="25" t="s">
        <v>17</v>
      </c>
      <c r="E405" s="25" t="s">
        <v>31</v>
      </c>
      <c r="F405" s="25">
        <v>6</v>
      </c>
      <c r="G405" s="29">
        <v>734.78</v>
      </c>
      <c r="H405" s="27">
        <v>0</v>
      </c>
      <c r="I405" s="29">
        <v>4408.6499999999996</v>
      </c>
      <c r="J405" s="29">
        <v>3469.04</v>
      </c>
      <c r="K405" s="29">
        <v>939.62</v>
      </c>
      <c r="L405" s="27">
        <f>(Table2[[#This Row],[Profit]]/Table2[[#This Row],[Revenue]])</f>
        <v>0.21313100382203171</v>
      </c>
    </row>
    <row r="406" spans="1:12" x14ac:dyDescent="0.3">
      <c r="A406" s="25" t="s">
        <v>430</v>
      </c>
      <c r="B406" s="26">
        <v>45881</v>
      </c>
      <c r="C406" s="25" t="s">
        <v>21</v>
      </c>
      <c r="D406" s="25" t="s">
        <v>17</v>
      </c>
      <c r="E406" s="25" t="s">
        <v>18</v>
      </c>
      <c r="F406" s="25">
        <v>2</v>
      </c>
      <c r="G406" s="29">
        <v>688.74</v>
      </c>
      <c r="H406" s="27">
        <v>0.15</v>
      </c>
      <c r="I406" s="29">
        <v>1170.8599999999999</v>
      </c>
      <c r="J406" s="29">
        <v>663.73</v>
      </c>
      <c r="K406" s="29">
        <v>507.13</v>
      </c>
      <c r="L406" s="27">
        <f>(Table2[[#This Row],[Profit]]/Table2[[#This Row],[Revenue]])</f>
        <v>0.43312607826725658</v>
      </c>
    </row>
    <row r="407" spans="1:12" x14ac:dyDescent="0.3">
      <c r="A407" s="25" t="s">
        <v>431</v>
      </c>
      <c r="B407" s="26">
        <v>45827</v>
      </c>
      <c r="C407" s="25" t="s">
        <v>12</v>
      </c>
      <c r="D407" s="25" t="s">
        <v>13</v>
      </c>
      <c r="E407" s="25" t="s">
        <v>18</v>
      </c>
      <c r="F407" s="25">
        <v>6</v>
      </c>
      <c r="G407" s="29">
        <v>569.78</v>
      </c>
      <c r="H407" s="27">
        <v>0.15</v>
      </c>
      <c r="I407" s="29">
        <v>2905.9</v>
      </c>
      <c r="J407" s="29">
        <v>1649.8</v>
      </c>
      <c r="K407" s="29">
        <v>1256.0999999999999</v>
      </c>
      <c r="L407" s="27">
        <f>(Table2[[#This Row],[Profit]]/Table2[[#This Row],[Revenue]])</f>
        <v>0.43225850855156744</v>
      </c>
    </row>
    <row r="408" spans="1:12" x14ac:dyDescent="0.3">
      <c r="A408" s="25" t="s">
        <v>432</v>
      </c>
      <c r="B408" s="26">
        <v>45949</v>
      </c>
      <c r="C408" s="25" t="s">
        <v>16</v>
      </c>
      <c r="D408" s="25" t="s">
        <v>17</v>
      </c>
      <c r="E408" s="25" t="s">
        <v>24</v>
      </c>
      <c r="F408" s="25">
        <v>1</v>
      </c>
      <c r="G408" s="29">
        <v>402.64</v>
      </c>
      <c r="H408" s="27">
        <v>0</v>
      </c>
      <c r="I408" s="29">
        <v>402.64</v>
      </c>
      <c r="J408" s="29">
        <v>269.38</v>
      </c>
      <c r="K408" s="29">
        <v>133.26</v>
      </c>
      <c r="L408" s="27">
        <f>(Table2[[#This Row],[Profit]]/Table2[[#This Row],[Revenue]])</f>
        <v>0.33096562686270614</v>
      </c>
    </row>
    <row r="409" spans="1:12" x14ac:dyDescent="0.3">
      <c r="A409" s="25" t="s">
        <v>433</v>
      </c>
      <c r="B409" s="26">
        <v>45918</v>
      </c>
      <c r="C409" s="25" t="s">
        <v>21</v>
      </c>
      <c r="D409" s="25" t="s">
        <v>17</v>
      </c>
      <c r="E409" s="25" t="s">
        <v>29</v>
      </c>
      <c r="F409" s="25">
        <v>10</v>
      </c>
      <c r="G409" s="29">
        <v>811.12</v>
      </c>
      <c r="H409" s="27">
        <v>0</v>
      </c>
      <c r="I409" s="29">
        <v>8111.19</v>
      </c>
      <c r="J409" s="29">
        <v>4286.3900000000003</v>
      </c>
      <c r="K409" s="29">
        <v>3824.8</v>
      </c>
      <c r="L409" s="27">
        <f>(Table2[[#This Row],[Profit]]/Table2[[#This Row],[Revenue]])</f>
        <v>0.47154609866123226</v>
      </c>
    </row>
    <row r="410" spans="1:12" x14ac:dyDescent="0.3">
      <c r="A410" s="25" t="s">
        <v>434</v>
      </c>
      <c r="B410" s="26">
        <v>45825</v>
      </c>
      <c r="C410" s="25" t="s">
        <v>16</v>
      </c>
      <c r="D410" s="25" t="s">
        <v>33</v>
      </c>
      <c r="E410" s="25" t="s">
        <v>22</v>
      </c>
      <c r="F410" s="25">
        <v>2</v>
      </c>
      <c r="G410" s="29">
        <v>436.19</v>
      </c>
      <c r="H410" s="27">
        <v>0.1</v>
      </c>
      <c r="I410" s="29">
        <v>785.14</v>
      </c>
      <c r="J410" s="29">
        <v>417.05</v>
      </c>
      <c r="K410" s="29">
        <v>368.09</v>
      </c>
      <c r="L410" s="27">
        <f>(Table2[[#This Row],[Profit]]/Table2[[#This Row],[Revenue]])</f>
        <v>0.46882084723743533</v>
      </c>
    </row>
    <row r="411" spans="1:12" x14ac:dyDescent="0.3">
      <c r="A411" s="25" t="s">
        <v>435</v>
      </c>
      <c r="B411" s="26">
        <v>45700</v>
      </c>
      <c r="C411" s="25" t="s">
        <v>21</v>
      </c>
      <c r="D411" s="25" t="s">
        <v>33</v>
      </c>
      <c r="E411" s="25" t="s">
        <v>18</v>
      </c>
      <c r="F411" s="25">
        <v>11</v>
      </c>
      <c r="G411" s="29">
        <v>209.81</v>
      </c>
      <c r="H411" s="27">
        <v>0.15</v>
      </c>
      <c r="I411" s="29">
        <v>1961.68</v>
      </c>
      <c r="J411" s="29">
        <v>1164.03</v>
      </c>
      <c r="K411" s="29">
        <v>797.66</v>
      </c>
      <c r="L411" s="27">
        <f>(Table2[[#This Row],[Profit]]/Table2[[#This Row],[Revenue]])</f>
        <v>0.40662085559316502</v>
      </c>
    </row>
    <row r="412" spans="1:12" x14ac:dyDescent="0.3">
      <c r="A412" s="25" t="s">
        <v>436</v>
      </c>
      <c r="B412" s="26">
        <v>45830</v>
      </c>
      <c r="C412" s="25" t="s">
        <v>12</v>
      </c>
      <c r="D412" s="25" t="s">
        <v>13</v>
      </c>
      <c r="E412" s="25" t="s">
        <v>22</v>
      </c>
      <c r="F412" s="25">
        <v>9</v>
      </c>
      <c r="G412" s="29">
        <v>711.5</v>
      </c>
      <c r="H412" s="27">
        <v>0</v>
      </c>
      <c r="I412" s="29">
        <v>6403.49</v>
      </c>
      <c r="J412" s="29">
        <v>3490.35</v>
      </c>
      <c r="K412" s="29">
        <v>2913.14</v>
      </c>
      <c r="L412" s="27">
        <f>(Table2[[#This Row],[Profit]]/Table2[[#This Row],[Revenue]])</f>
        <v>0.4549300459593128</v>
      </c>
    </row>
    <row r="413" spans="1:12" x14ac:dyDescent="0.3">
      <c r="A413" s="25" t="s">
        <v>437</v>
      </c>
      <c r="B413" s="26">
        <v>45846</v>
      </c>
      <c r="C413" s="25" t="s">
        <v>21</v>
      </c>
      <c r="D413" s="25" t="s">
        <v>13</v>
      </c>
      <c r="E413" s="25" t="s">
        <v>24</v>
      </c>
      <c r="F413" s="25">
        <v>1</v>
      </c>
      <c r="G413" s="29">
        <v>571.84</v>
      </c>
      <c r="H413" s="27">
        <v>0.1</v>
      </c>
      <c r="I413" s="29">
        <v>514.66</v>
      </c>
      <c r="J413" s="29">
        <v>359.86</v>
      </c>
      <c r="K413" s="29">
        <v>154.80000000000001</v>
      </c>
      <c r="L413" s="27">
        <f>(Table2[[#This Row],[Profit]]/Table2[[#This Row],[Revenue]])</f>
        <v>0.30078109820075394</v>
      </c>
    </row>
    <row r="414" spans="1:12" x14ac:dyDescent="0.3">
      <c r="A414" s="25" t="s">
        <v>438</v>
      </c>
      <c r="B414" s="26">
        <v>45782</v>
      </c>
      <c r="C414" s="25" t="s">
        <v>21</v>
      </c>
      <c r="D414" s="25" t="s">
        <v>33</v>
      </c>
      <c r="E414" s="25" t="s">
        <v>26</v>
      </c>
      <c r="F414" s="25">
        <v>2</v>
      </c>
      <c r="G414" s="29">
        <v>404.54</v>
      </c>
      <c r="H414" s="27">
        <v>0.05</v>
      </c>
      <c r="I414" s="29">
        <v>768.63</v>
      </c>
      <c r="J414" s="29">
        <v>501.46</v>
      </c>
      <c r="K414" s="29">
        <v>267.17</v>
      </c>
      <c r="L414" s="27">
        <f>(Table2[[#This Row],[Profit]]/Table2[[#This Row],[Revenue]])</f>
        <v>0.34759246971885044</v>
      </c>
    </row>
    <row r="415" spans="1:12" x14ac:dyDescent="0.3">
      <c r="A415" s="25" t="s">
        <v>439</v>
      </c>
      <c r="B415" s="26">
        <v>45773</v>
      </c>
      <c r="C415" s="25" t="s">
        <v>21</v>
      </c>
      <c r="D415" s="25" t="s">
        <v>17</v>
      </c>
      <c r="E415" s="25" t="s">
        <v>24</v>
      </c>
      <c r="F415" s="25">
        <v>2</v>
      </c>
      <c r="G415" s="29">
        <v>66.11</v>
      </c>
      <c r="H415" s="27">
        <v>0.05</v>
      </c>
      <c r="I415" s="29">
        <v>125.61</v>
      </c>
      <c r="J415" s="29">
        <v>92.26</v>
      </c>
      <c r="K415" s="29">
        <v>33.35</v>
      </c>
      <c r="L415" s="27">
        <f>(Table2[[#This Row],[Profit]]/Table2[[#This Row],[Revenue]])</f>
        <v>0.26550433882652658</v>
      </c>
    </row>
    <row r="416" spans="1:12" x14ac:dyDescent="0.3">
      <c r="A416" s="25" t="s">
        <v>440</v>
      </c>
      <c r="B416" s="26">
        <v>45673</v>
      </c>
      <c r="C416" s="25" t="s">
        <v>28</v>
      </c>
      <c r="D416" s="25" t="s">
        <v>17</v>
      </c>
      <c r="E416" s="25" t="s">
        <v>34</v>
      </c>
      <c r="F416" s="25">
        <v>4</v>
      </c>
      <c r="G416" s="29">
        <v>661.24</v>
      </c>
      <c r="H416" s="27">
        <v>0</v>
      </c>
      <c r="I416" s="29">
        <v>2644.96</v>
      </c>
      <c r="J416" s="29">
        <v>2081.59</v>
      </c>
      <c r="K416" s="29">
        <v>563.37</v>
      </c>
      <c r="L416" s="27">
        <f>(Table2[[#This Row],[Profit]]/Table2[[#This Row],[Revenue]])</f>
        <v>0.21299755005746779</v>
      </c>
    </row>
    <row r="417" spans="1:12" x14ac:dyDescent="0.3">
      <c r="A417" s="25" t="s">
        <v>441</v>
      </c>
      <c r="B417" s="26">
        <v>45722</v>
      </c>
      <c r="C417" s="25" t="s">
        <v>28</v>
      </c>
      <c r="D417" s="25" t="s">
        <v>33</v>
      </c>
      <c r="E417" s="25" t="s">
        <v>22</v>
      </c>
      <c r="F417" s="25">
        <v>3</v>
      </c>
      <c r="G417" s="29">
        <v>617.39</v>
      </c>
      <c r="H417" s="27">
        <v>0.2</v>
      </c>
      <c r="I417" s="29">
        <v>1481.74</v>
      </c>
      <c r="J417" s="29">
        <v>713.36</v>
      </c>
      <c r="K417" s="29">
        <v>768.38</v>
      </c>
      <c r="L417" s="27">
        <f>(Table2[[#This Row],[Profit]]/Table2[[#This Row],[Revenue]])</f>
        <v>0.51856601023121462</v>
      </c>
    </row>
    <row r="418" spans="1:12" x14ac:dyDescent="0.3">
      <c r="A418" s="25" t="s">
        <v>442</v>
      </c>
      <c r="B418" s="26">
        <v>45698</v>
      </c>
      <c r="C418" s="25" t="s">
        <v>21</v>
      </c>
      <c r="D418" s="25" t="s">
        <v>13</v>
      </c>
      <c r="E418" s="25" t="s">
        <v>22</v>
      </c>
      <c r="F418" s="25">
        <v>8</v>
      </c>
      <c r="G418" s="29">
        <v>387.56</v>
      </c>
      <c r="H418" s="27">
        <v>0.05</v>
      </c>
      <c r="I418" s="29">
        <v>2945.42</v>
      </c>
      <c r="J418" s="29">
        <v>1452.73</v>
      </c>
      <c r="K418" s="29">
        <v>1492.69</v>
      </c>
      <c r="L418" s="27">
        <f>(Table2[[#This Row],[Profit]]/Table2[[#This Row],[Revenue]])</f>
        <v>0.50678341289187956</v>
      </c>
    </row>
    <row r="419" spans="1:12" x14ac:dyDescent="0.3">
      <c r="A419" s="25" t="s">
        <v>443</v>
      </c>
      <c r="B419" s="26">
        <v>45789</v>
      </c>
      <c r="C419" s="25" t="s">
        <v>21</v>
      </c>
      <c r="D419" s="25" t="s">
        <v>17</v>
      </c>
      <c r="E419" s="25" t="s">
        <v>24</v>
      </c>
      <c r="F419" s="25">
        <v>9</v>
      </c>
      <c r="G419" s="29">
        <v>279.61</v>
      </c>
      <c r="H419" s="27">
        <v>0.05</v>
      </c>
      <c r="I419" s="29">
        <v>2390.66</v>
      </c>
      <c r="J419" s="29">
        <v>1667.25</v>
      </c>
      <c r="K419" s="29">
        <v>723.41</v>
      </c>
      <c r="L419" s="27">
        <f>(Table2[[#This Row],[Profit]]/Table2[[#This Row],[Revenue]])</f>
        <v>0.30259844561752824</v>
      </c>
    </row>
    <row r="420" spans="1:12" x14ac:dyDescent="0.3">
      <c r="A420" s="25" t="s">
        <v>444</v>
      </c>
      <c r="B420" s="26">
        <v>45900</v>
      </c>
      <c r="C420" s="25" t="s">
        <v>28</v>
      </c>
      <c r="D420" s="25" t="s">
        <v>17</v>
      </c>
      <c r="E420" s="25" t="s">
        <v>31</v>
      </c>
      <c r="F420" s="25">
        <v>7</v>
      </c>
      <c r="G420" s="29">
        <v>143.38999999999999</v>
      </c>
      <c r="H420" s="27">
        <v>0.2</v>
      </c>
      <c r="I420" s="29">
        <v>803.01</v>
      </c>
      <c r="J420" s="29">
        <v>524.04999999999995</v>
      </c>
      <c r="K420" s="29">
        <v>278.95999999999998</v>
      </c>
      <c r="L420" s="27">
        <f>(Table2[[#This Row],[Profit]]/Table2[[#This Row],[Revenue]])</f>
        <v>0.34739293408550326</v>
      </c>
    </row>
    <row r="421" spans="1:12" x14ac:dyDescent="0.3">
      <c r="A421" s="25" t="s">
        <v>445</v>
      </c>
      <c r="B421" s="26">
        <v>46007</v>
      </c>
      <c r="C421" s="25" t="s">
        <v>28</v>
      </c>
      <c r="D421" s="25" t="s">
        <v>13</v>
      </c>
      <c r="E421" s="25" t="s">
        <v>22</v>
      </c>
      <c r="F421" s="25">
        <v>4</v>
      </c>
      <c r="G421" s="29">
        <v>738.38</v>
      </c>
      <c r="H421" s="27">
        <v>0.05</v>
      </c>
      <c r="I421" s="29">
        <v>2805.85</v>
      </c>
      <c r="J421" s="29">
        <v>1359.22</v>
      </c>
      <c r="K421" s="29">
        <v>1446.63</v>
      </c>
      <c r="L421" s="27">
        <f>(Table2[[#This Row],[Profit]]/Table2[[#This Row],[Revenue]])</f>
        <v>0.5155763850526579</v>
      </c>
    </row>
    <row r="422" spans="1:12" x14ac:dyDescent="0.3">
      <c r="A422" s="25" t="s">
        <v>446</v>
      </c>
      <c r="B422" s="26">
        <v>45782</v>
      </c>
      <c r="C422" s="25" t="s">
        <v>21</v>
      </c>
      <c r="D422" s="25" t="s">
        <v>13</v>
      </c>
      <c r="E422" s="25" t="s">
        <v>26</v>
      </c>
      <c r="F422" s="25">
        <v>11</v>
      </c>
      <c r="G422" s="29">
        <v>867.36</v>
      </c>
      <c r="H422" s="27">
        <v>0.2</v>
      </c>
      <c r="I422" s="29">
        <v>7632.76</v>
      </c>
      <c r="J422" s="29">
        <v>4677.93</v>
      </c>
      <c r="K422" s="29">
        <v>2954.82</v>
      </c>
      <c r="L422" s="27">
        <f>(Table2[[#This Row],[Profit]]/Table2[[#This Row],[Revenue]])</f>
        <v>0.38712339966145931</v>
      </c>
    </row>
    <row r="423" spans="1:12" x14ac:dyDescent="0.3">
      <c r="A423" s="25" t="s">
        <v>447</v>
      </c>
      <c r="B423" s="26">
        <v>45862</v>
      </c>
      <c r="C423" s="25" t="s">
        <v>16</v>
      </c>
      <c r="D423" s="25" t="s">
        <v>17</v>
      </c>
      <c r="E423" s="25" t="s">
        <v>34</v>
      </c>
      <c r="F423" s="25">
        <v>9</v>
      </c>
      <c r="G423" s="29">
        <v>54.33</v>
      </c>
      <c r="H423" s="27">
        <v>0</v>
      </c>
      <c r="I423" s="29">
        <v>488.93</v>
      </c>
      <c r="J423" s="29">
        <v>318.81</v>
      </c>
      <c r="K423" s="29">
        <v>170.12</v>
      </c>
      <c r="L423" s="27">
        <f>(Table2[[#This Row],[Profit]]/Table2[[#This Row],[Revenue]])</f>
        <v>0.34794346839015811</v>
      </c>
    </row>
    <row r="424" spans="1:12" x14ac:dyDescent="0.3">
      <c r="A424" s="25" t="s">
        <v>448</v>
      </c>
      <c r="B424" s="26">
        <v>45751</v>
      </c>
      <c r="C424" s="25" t="s">
        <v>28</v>
      </c>
      <c r="D424" s="25" t="s">
        <v>17</v>
      </c>
      <c r="E424" s="25" t="s">
        <v>26</v>
      </c>
      <c r="F424" s="25">
        <v>3</v>
      </c>
      <c r="G424" s="29">
        <v>677.63</v>
      </c>
      <c r="H424" s="27">
        <v>0.15</v>
      </c>
      <c r="I424" s="29">
        <v>1727.95</v>
      </c>
      <c r="J424" s="29">
        <v>866.54</v>
      </c>
      <c r="K424" s="29">
        <v>861.41</v>
      </c>
      <c r="L424" s="27">
        <f>(Table2[[#This Row],[Profit]]/Table2[[#This Row],[Revenue]])</f>
        <v>0.49851558204809165</v>
      </c>
    </row>
    <row r="425" spans="1:12" x14ac:dyDescent="0.3">
      <c r="A425" s="25" t="s">
        <v>449</v>
      </c>
      <c r="B425" s="26">
        <v>45662</v>
      </c>
      <c r="C425" s="25" t="s">
        <v>28</v>
      </c>
      <c r="D425" s="25" t="s">
        <v>13</v>
      </c>
      <c r="E425" s="25" t="s">
        <v>31</v>
      </c>
      <c r="F425" s="25">
        <v>9</v>
      </c>
      <c r="G425" s="29">
        <v>230.64</v>
      </c>
      <c r="H425" s="27">
        <v>0.05</v>
      </c>
      <c r="I425" s="29">
        <v>1971.95</v>
      </c>
      <c r="J425" s="29">
        <v>1258.1500000000001</v>
      </c>
      <c r="K425" s="29">
        <v>713.79</v>
      </c>
      <c r="L425" s="27">
        <f>(Table2[[#This Row],[Profit]]/Table2[[#This Row],[Revenue]])</f>
        <v>0.3619716524252643</v>
      </c>
    </row>
    <row r="426" spans="1:12" x14ac:dyDescent="0.3">
      <c r="A426" s="25" t="s">
        <v>450</v>
      </c>
      <c r="B426" s="26">
        <v>45949</v>
      </c>
      <c r="C426" s="25" t="s">
        <v>21</v>
      </c>
      <c r="D426" s="25" t="s">
        <v>33</v>
      </c>
      <c r="E426" s="25" t="s">
        <v>24</v>
      </c>
      <c r="F426" s="25">
        <v>9</v>
      </c>
      <c r="G426" s="29">
        <v>888.01</v>
      </c>
      <c r="H426" s="27">
        <v>0.05</v>
      </c>
      <c r="I426" s="29">
        <v>7592.46</v>
      </c>
      <c r="J426" s="29">
        <v>5857.4</v>
      </c>
      <c r="K426" s="29">
        <v>1735.05</v>
      </c>
      <c r="L426" s="27">
        <f>(Table2[[#This Row],[Profit]]/Table2[[#This Row],[Revenue]])</f>
        <v>0.22852277127571299</v>
      </c>
    </row>
    <row r="427" spans="1:12" x14ac:dyDescent="0.3">
      <c r="A427" s="25" t="s">
        <v>451</v>
      </c>
      <c r="B427" s="26">
        <v>45925</v>
      </c>
      <c r="C427" s="25" t="s">
        <v>28</v>
      </c>
      <c r="D427" s="25" t="s">
        <v>17</v>
      </c>
      <c r="E427" s="25" t="s">
        <v>26</v>
      </c>
      <c r="F427" s="25">
        <v>6</v>
      </c>
      <c r="G427" s="29">
        <v>854.56</v>
      </c>
      <c r="H427" s="27">
        <v>0.15</v>
      </c>
      <c r="I427" s="29">
        <v>4358.2700000000004</v>
      </c>
      <c r="J427" s="29">
        <v>3171.44</v>
      </c>
      <c r="K427" s="29">
        <v>1186.83</v>
      </c>
      <c r="L427" s="27">
        <f>(Table2[[#This Row],[Profit]]/Table2[[#This Row],[Revenue]])</f>
        <v>0.27231676789184694</v>
      </c>
    </row>
    <row r="428" spans="1:12" x14ac:dyDescent="0.3">
      <c r="A428" s="25" t="s">
        <v>452</v>
      </c>
      <c r="B428" s="26">
        <v>45981</v>
      </c>
      <c r="C428" s="25" t="s">
        <v>16</v>
      </c>
      <c r="D428" s="25" t="s">
        <v>13</v>
      </c>
      <c r="E428" s="25" t="s">
        <v>22</v>
      </c>
      <c r="F428" s="25">
        <v>11</v>
      </c>
      <c r="G428" s="29">
        <v>207.08</v>
      </c>
      <c r="H428" s="27">
        <v>0.05</v>
      </c>
      <c r="I428" s="29">
        <v>2164.02</v>
      </c>
      <c r="J428" s="29">
        <v>1304.95</v>
      </c>
      <c r="K428" s="29">
        <v>859.07</v>
      </c>
      <c r="L428" s="27">
        <f>(Table2[[#This Row],[Profit]]/Table2[[#This Row],[Revenue]])</f>
        <v>0.39697877099102596</v>
      </c>
    </row>
    <row r="429" spans="1:12" x14ac:dyDescent="0.3">
      <c r="A429" s="25" t="s">
        <v>453</v>
      </c>
      <c r="B429" s="26">
        <v>45874</v>
      </c>
      <c r="C429" s="25" t="s">
        <v>16</v>
      </c>
      <c r="D429" s="25" t="s">
        <v>33</v>
      </c>
      <c r="E429" s="25" t="s">
        <v>31</v>
      </c>
      <c r="F429" s="25">
        <v>1</v>
      </c>
      <c r="G429" s="29">
        <v>632.45000000000005</v>
      </c>
      <c r="H429" s="27">
        <v>0.05</v>
      </c>
      <c r="I429" s="29">
        <v>600.83000000000004</v>
      </c>
      <c r="J429" s="29">
        <v>383.48</v>
      </c>
      <c r="K429" s="29">
        <v>217.35</v>
      </c>
      <c r="L429" s="27">
        <f>(Table2[[#This Row],[Profit]]/Table2[[#This Row],[Revenue]])</f>
        <v>0.36174957974801519</v>
      </c>
    </row>
    <row r="430" spans="1:12" x14ac:dyDescent="0.3">
      <c r="A430" s="25" t="s">
        <v>454</v>
      </c>
      <c r="B430" s="26">
        <v>45710</v>
      </c>
      <c r="C430" s="25" t="s">
        <v>16</v>
      </c>
      <c r="D430" s="25" t="s">
        <v>13</v>
      </c>
      <c r="E430" s="25" t="s">
        <v>26</v>
      </c>
      <c r="F430" s="25">
        <v>4</v>
      </c>
      <c r="G430" s="29">
        <v>237.25</v>
      </c>
      <c r="H430" s="27">
        <v>0.1</v>
      </c>
      <c r="I430" s="29">
        <v>854.1</v>
      </c>
      <c r="J430" s="29">
        <v>436.43</v>
      </c>
      <c r="K430" s="29">
        <v>417.68</v>
      </c>
      <c r="L430" s="27">
        <f>(Table2[[#This Row],[Profit]]/Table2[[#This Row],[Revenue]])</f>
        <v>0.48902938765952464</v>
      </c>
    </row>
    <row r="431" spans="1:12" x14ac:dyDescent="0.3">
      <c r="A431" s="25" t="s">
        <v>455</v>
      </c>
      <c r="B431" s="26">
        <v>45673</v>
      </c>
      <c r="C431" s="25" t="s">
        <v>16</v>
      </c>
      <c r="D431" s="25" t="s">
        <v>13</v>
      </c>
      <c r="E431" s="25" t="s">
        <v>34</v>
      </c>
      <c r="F431" s="25">
        <v>6</v>
      </c>
      <c r="G431" s="29">
        <v>84.09</v>
      </c>
      <c r="H431" s="27">
        <v>0.1</v>
      </c>
      <c r="I431" s="29">
        <v>454.09</v>
      </c>
      <c r="J431" s="29">
        <v>212.02</v>
      </c>
      <c r="K431" s="29">
        <v>242.07</v>
      </c>
      <c r="L431" s="27">
        <f>(Table2[[#This Row],[Profit]]/Table2[[#This Row],[Revenue]])</f>
        <v>0.53308815433063927</v>
      </c>
    </row>
    <row r="432" spans="1:12" x14ac:dyDescent="0.3">
      <c r="A432" s="25" t="s">
        <v>456</v>
      </c>
      <c r="B432" s="26">
        <v>45892</v>
      </c>
      <c r="C432" s="25" t="s">
        <v>12</v>
      </c>
      <c r="D432" s="25" t="s">
        <v>17</v>
      </c>
      <c r="E432" s="25" t="s">
        <v>34</v>
      </c>
      <c r="F432" s="25">
        <v>10</v>
      </c>
      <c r="G432" s="29">
        <v>518.13</v>
      </c>
      <c r="H432" s="27">
        <v>0</v>
      </c>
      <c r="I432" s="29">
        <v>5181.34</v>
      </c>
      <c r="J432" s="29">
        <v>3004.08</v>
      </c>
      <c r="K432" s="29">
        <v>2177.2600000000002</v>
      </c>
      <c r="L432" s="27">
        <f>(Table2[[#This Row],[Profit]]/Table2[[#This Row],[Revenue]])</f>
        <v>0.4202117598922287</v>
      </c>
    </row>
    <row r="433" spans="1:12" x14ac:dyDescent="0.3">
      <c r="A433" s="25" t="s">
        <v>457</v>
      </c>
      <c r="B433" s="26">
        <v>45665</v>
      </c>
      <c r="C433" s="25" t="s">
        <v>21</v>
      </c>
      <c r="D433" s="25" t="s">
        <v>33</v>
      </c>
      <c r="E433" s="25" t="s">
        <v>14</v>
      </c>
      <c r="F433" s="25">
        <v>11</v>
      </c>
      <c r="G433" s="29">
        <v>41.71</v>
      </c>
      <c r="H433" s="27">
        <v>0</v>
      </c>
      <c r="I433" s="29">
        <v>458.81</v>
      </c>
      <c r="J433" s="29">
        <v>307.39999999999998</v>
      </c>
      <c r="K433" s="29">
        <v>151.41</v>
      </c>
      <c r="L433" s="27">
        <f>(Table2[[#This Row],[Profit]]/Table2[[#This Row],[Revenue]])</f>
        <v>0.33000588478891041</v>
      </c>
    </row>
    <row r="434" spans="1:12" x14ac:dyDescent="0.3">
      <c r="A434" s="25" t="s">
        <v>458</v>
      </c>
      <c r="B434" s="26">
        <v>45779</v>
      </c>
      <c r="C434" s="25" t="s">
        <v>28</v>
      </c>
      <c r="D434" s="25" t="s">
        <v>13</v>
      </c>
      <c r="E434" s="25" t="s">
        <v>18</v>
      </c>
      <c r="F434" s="25">
        <v>4</v>
      </c>
      <c r="G434" s="29">
        <v>285.86</v>
      </c>
      <c r="H434" s="27">
        <v>0</v>
      </c>
      <c r="I434" s="29">
        <v>1143.43</v>
      </c>
      <c r="J434" s="29">
        <v>566.86</v>
      </c>
      <c r="K434" s="29">
        <v>576.57000000000005</v>
      </c>
      <c r="L434" s="27">
        <f>(Table2[[#This Row],[Profit]]/Table2[[#This Row],[Revenue]])</f>
        <v>0.50424599669415704</v>
      </c>
    </row>
    <row r="435" spans="1:12" x14ac:dyDescent="0.3">
      <c r="A435" s="25" t="s">
        <v>459</v>
      </c>
      <c r="B435" s="26">
        <v>46007</v>
      </c>
      <c r="C435" s="25" t="s">
        <v>21</v>
      </c>
      <c r="D435" s="25" t="s">
        <v>13</v>
      </c>
      <c r="E435" s="25" t="s">
        <v>22</v>
      </c>
      <c r="F435" s="25">
        <v>5</v>
      </c>
      <c r="G435" s="29">
        <v>341.16</v>
      </c>
      <c r="H435" s="27">
        <v>0.05</v>
      </c>
      <c r="I435" s="29">
        <v>1620.52</v>
      </c>
      <c r="J435" s="29">
        <v>1217.02</v>
      </c>
      <c r="K435" s="29">
        <v>403.5</v>
      </c>
      <c r="L435" s="27">
        <f>(Table2[[#This Row],[Profit]]/Table2[[#This Row],[Revenue]])</f>
        <v>0.2489941500259176</v>
      </c>
    </row>
    <row r="436" spans="1:12" x14ac:dyDescent="0.3">
      <c r="A436" s="25" t="s">
        <v>460</v>
      </c>
      <c r="B436" s="26">
        <v>45927</v>
      </c>
      <c r="C436" s="25" t="s">
        <v>16</v>
      </c>
      <c r="D436" s="25" t="s">
        <v>33</v>
      </c>
      <c r="E436" s="25" t="s">
        <v>31</v>
      </c>
      <c r="F436" s="25">
        <v>4</v>
      </c>
      <c r="G436" s="29">
        <v>86.56</v>
      </c>
      <c r="H436" s="27">
        <v>0</v>
      </c>
      <c r="I436" s="29">
        <v>346.26</v>
      </c>
      <c r="J436" s="29">
        <v>179.81</v>
      </c>
      <c r="K436" s="29">
        <v>166.44</v>
      </c>
      <c r="L436" s="27">
        <f>(Table2[[#This Row],[Profit]]/Table2[[#This Row],[Revenue]])</f>
        <v>0.48067925836076936</v>
      </c>
    </row>
    <row r="437" spans="1:12" x14ac:dyDescent="0.3">
      <c r="A437" s="25" t="s">
        <v>461</v>
      </c>
      <c r="B437" s="26">
        <v>45926</v>
      </c>
      <c r="C437" s="25" t="s">
        <v>12</v>
      </c>
      <c r="D437" s="25" t="s">
        <v>13</v>
      </c>
      <c r="E437" s="25" t="s">
        <v>29</v>
      </c>
      <c r="F437" s="25">
        <v>3</v>
      </c>
      <c r="G437" s="29">
        <v>796.52</v>
      </c>
      <c r="H437" s="27">
        <v>0.15</v>
      </c>
      <c r="I437" s="29">
        <v>2031.13</v>
      </c>
      <c r="J437" s="29">
        <v>928.8</v>
      </c>
      <c r="K437" s="29">
        <v>1102.33</v>
      </c>
      <c r="L437" s="27">
        <f>(Table2[[#This Row],[Profit]]/Table2[[#This Row],[Revenue]])</f>
        <v>0.54271760054747842</v>
      </c>
    </row>
    <row r="438" spans="1:12" x14ac:dyDescent="0.3">
      <c r="A438" s="25" t="s">
        <v>462</v>
      </c>
      <c r="B438" s="26">
        <v>45849</v>
      </c>
      <c r="C438" s="25" t="s">
        <v>16</v>
      </c>
      <c r="D438" s="25" t="s">
        <v>13</v>
      </c>
      <c r="E438" s="25" t="s">
        <v>18</v>
      </c>
      <c r="F438" s="25">
        <v>4</v>
      </c>
      <c r="G438" s="29">
        <v>833.91</v>
      </c>
      <c r="H438" s="27">
        <v>0.05</v>
      </c>
      <c r="I438" s="29">
        <v>3168.87</v>
      </c>
      <c r="J438" s="29">
        <v>2126.71</v>
      </c>
      <c r="K438" s="29">
        <v>1042.1600000000001</v>
      </c>
      <c r="L438" s="27">
        <f>(Table2[[#This Row],[Profit]]/Table2[[#This Row],[Revenue]])</f>
        <v>0.32887433059734233</v>
      </c>
    </row>
    <row r="439" spans="1:12" x14ac:dyDescent="0.3">
      <c r="A439" s="25" t="s">
        <v>463</v>
      </c>
      <c r="B439" s="26">
        <v>45794</v>
      </c>
      <c r="C439" s="25" t="s">
        <v>12</v>
      </c>
      <c r="D439" s="25" t="s">
        <v>13</v>
      </c>
      <c r="E439" s="25" t="s">
        <v>18</v>
      </c>
      <c r="F439" s="25">
        <v>5</v>
      </c>
      <c r="G439" s="29">
        <v>534.87</v>
      </c>
      <c r="H439" s="27">
        <v>0</v>
      </c>
      <c r="I439" s="29">
        <v>2674.33</v>
      </c>
      <c r="J439" s="29">
        <v>1882.25</v>
      </c>
      <c r="K439" s="29">
        <v>792.08</v>
      </c>
      <c r="L439" s="27">
        <f>(Table2[[#This Row],[Profit]]/Table2[[#This Row],[Revenue]])</f>
        <v>0.29617885601253402</v>
      </c>
    </row>
    <row r="440" spans="1:12" x14ac:dyDescent="0.3">
      <c r="A440" s="25" t="s">
        <v>464</v>
      </c>
      <c r="B440" s="26">
        <v>45835</v>
      </c>
      <c r="C440" s="25" t="s">
        <v>16</v>
      </c>
      <c r="D440" s="25" t="s">
        <v>17</v>
      </c>
      <c r="E440" s="25" t="s">
        <v>22</v>
      </c>
      <c r="F440" s="25">
        <v>5</v>
      </c>
      <c r="G440" s="29">
        <v>670.06</v>
      </c>
      <c r="H440" s="27">
        <v>0</v>
      </c>
      <c r="I440" s="29">
        <v>3350.28</v>
      </c>
      <c r="J440" s="29">
        <v>2139.54</v>
      </c>
      <c r="K440" s="29">
        <v>1210.74</v>
      </c>
      <c r="L440" s="27">
        <f>(Table2[[#This Row],[Profit]]/Table2[[#This Row],[Revenue]])</f>
        <v>0.36138472008309752</v>
      </c>
    </row>
    <row r="441" spans="1:12" x14ac:dyDescent="0.3">
      <c r="A441" s="25" t="s">
        <v>465</v>
      </c>
      <c r="B441" s="26">
        <v>45750</v>
      </c>
      <c r="C441" s="25" t="s">
        <v>21</v>
      </c>
      <c r="D441" s="25" t="s">
        <v>17</v>
      </c>
      <c r="E441" s="25" t="s">
        <v>31</v>
      </c>
      <c r="F441" s="25">
        <v>10</v>
      </c>
      <c r="G441" s="29">
        <v>194.53</v>
      </c>
      <c r="H441" s="27">
        <v>0</v>
      </c>
      <c r="I441" s="29">
        <v>1945.25</v>
      </c>
      <c r="J441" s="29">
        <v>1067.53</v>
      </c>
      <c r="K441" s="29">
        <v>877.72</v>
      </c>
      <c r="L441" s="27">
        <f>(Table2[[#This Row],[Profit]]/Table2[[#This Row],[Revenue]])</f>
        <v>0.451211926487598</v>
      </c>
    </row>
    <row r="442" spans="1:12" x14ac:dyDescent="0.3">
      <c r="A442" s="25" t="s">
        <v>466</v>
      </c>
      <c r="B442" s="26">
        <v>45969</v>
      </c>
      <c r="C442" s="25" t="s">
        <v>28</v>
      </c>
      <c r="D442" s="25" t="s">
        <v>17</v>
      </c>
      <c r="E442" s="25" t="s">
        <v>22</v>
      </c>
      <c r="F442" s="25">
        <v>11</v>
      </c>
      <c r="G442" s="29">
        <v>635.02</v>
      </c>
      <c r="H442" s="27">
        <v>0.2</v>
      </c>
      <c r="I442" s="29">
        <v>5588.15</v>
      </c>
      <c r="J442" s="29">
        <v>4292.8900000000003</v>
      </c>
      <c r="K442" s="29">
        <v>1295.26</v>
      </c>
      <c r="L442" s="27">
        <f>(Table2[[#This Row],[Profit]]/Table2[[#This Row],[Revenue]])</f>
        <v>0.23178690622120024</v>
      </c>
    </row>
    <row r="443" spans="1:12" x14ac:dyDescent="0.3">
      <c r="A443" s="25" t="s">
        <v>467</v>
      </c>
      <c r="B443" s="26">
        <v>45980</v>
      </c>
      <c r="C443" s="25" t="s">
        <v>12</v>
      </c>
      <c r="D443" s="25" t="s">
        <v>13</v>
      </c>
      <c r="E443" s="25" t="s">
        <v>22</v>
      </c>
      <c r="F443" s="25">
        <v>11</v>
      </c>
      <c r="G443" s="29">
        <v>665.71</v>
      </c>
      <c r="H443" s="27">
        <v>0.15</v>
      </c>
      <c r="I443" s="29">
        <v>6224.35</v>
      </c>
      <c r="J443" s="29">
        <v>4445.92</v>
      </c>
      <c r="K443" s="29">
        <v>1778.44</v>
      </c>
      <c r="L443" s="27">
        <f>(Table2[[#This Row],[Profit]]/Table2[[#This Row],[Revenue]])</f>
        <v>0.28572300722163757</v>
      </c>
    </row>
    <row r="444" spans="1:12" x14ac:dyDescent="0.3">
      <c r="A444" s="25" t="s">
        <v>468</v>
      </c>
      <c r="B444" s="26">
        <v>45873</v>
      </c>
      <c r="C444" s="25" t="s">
        <v>21</v>
      </c>
      <c r="D444" s="25" t="s">
        <v>33</v>
      </c>
      <c r="E444" s="25" t="s">
        <v>24</v>
      </c>
      <c r="F444" s="25">
        <v>7</v>
      </c>
      <c r="G444" s="29">
        <v>277.41000000000003</v>
      </c>
      <c r="H444" s="27">
        <v>0.1</v>
      </c>
      <c r="I444" s="29">
        <v>1747.69</v>
      </c>
      <c r="J444" s="29">
        <v>1020.02</v>
      </c>
      <c r="K444" s="29">
        <v>727.67</v>
      </c>
      <c r="L444" s="27">
        <f>(Table2[[#This Row],[Profit]]/Table2[[#This Row],[Revenue]])</f>
        <v>0.416361025124593</v>
      </c>
    </row>
    <row r="445" spans="1:12" x14ac:dyDescent="0.3">
      <c r="A445" s="25" t="s">
        <v>469</v>
      </c>
      <c r="B445" s="26">
        <v>45776</v>
      </c>
      <c r="C445" s="25" t="s">
        <v>16</v>
      </c>
      <c r="D445" s="25" t="s">
        <v>33</v>
      </c>
      <c r="E445" s="25" t="s">
        <v>22</v>
      </c>
      <c r="F445" s="25">
        <v>11</v>
      </c>
      <c r="G445" s="29">
        <v>341.47</v>
      </c>
      <c r="H445" s="27">
        <v>0.05</v>
      </c>
      <c r="I445" s="29">
        <v>3568.41</v>
      </c>
      <c r="J445" s="29">
        <v>2300.56</v>
      </c>
      <c r="K445" s="29">
        <v>1267.8499999999999</v>
      </c>
      <c r="L445" s="27">
        <f>(Table2[[#This Row],[Profit]]/Table2[[#This Row],[Revenue]])</f>
        <v>0.35529829812157232</v>
      </c>
    </row>
    <row r="446" spans="1:12" x14ac:dyDescent="0.3">
      <c r="A446" s="25" t="s">
        <v>470</v>
      </c>
      <c r="B446" s="26">
        <v>45668</v>
      </c>
      <c r="C446" s="25" t="s">
        <v>21</v>
      </c>
      <c r="D446" s="25" t="s">
        <v>13</v>
      </c>
      <c r="E446" s="25" t="s">
        <v>22</v>
      </c>
      <c r="F446" s="25">
        <v>10</v>
      </c>
      <c r="G446" s="29">
        <v>680.25</v>
      </c>
      <c r="H446" s="27">
        <v>0.1</v>
      </c>
      <c r="I446" s="29">
        <v>6122.27</v>
      </c>
      <c r="J446" s="29">
        <v>3859.03</v>
      </c>
      <c r="K446" s="29">
        <v>2263.23</v>
      </c>
      <c r="L446" s="27">
        <f>(Table2[[#This Row],[Profit]]/Table2[[#This Row],[Revenue]])</f>
        <v>0.3696717067362269</v>
      </c>
    </row>
    <row r="447" spans="1:12" x14ac:dyDescent="0.3">
      <c r="A447" s="25" t="s">
        <v>471</v>
      </c>
      <c r="B447" s="26">
        <v>45965</v>
      </c>
      <c r="C447" s="25" t="s">
        <v>12</v>
      </c>
      <c r="D447" s="25" t="s">
        <v>17</v>
      </c>
      <c r="E447" s="25" t="s">
        <v>22</v>
      </c>
      <c r="F447" s="25">
        <v>3</v>
      </c>
      <c r="G447" s="29">
        <v>217.83</v>
      </c>
      <c r="H447" s="27">
        <v>0.05</v>
      </c>
      <c r="I447" s="29">
        <v>620.82000000000005</v>
      </c>
      <c r="J447" s="29">
        <v>406.3</v>
      </c>
      <c r="K447" s="29">
        <v>214.52</v>
      </c>
      <c r="L447" s="27">
        <f>(Table2[[#This Row],[Profit]]/Table2[[#This Row],[Revenue]])</f>
        <v>0.34554299152733481</v>
      </c>
    </row>
    <row r="448" spans="1:12" x14ac:dyDescent="0.3">
      <c r="A448" s="25" t="s">
        <v>472</v>
      </c>
      <c r="B448" s="26">
        <v>45736</v>
      </c>
      <c r="C448" s="25" t="s">
        <v>28</v>
      </c>
      <c r="D448" s="25" t="s">
        <v>13</v>
      </c>
      <c r="E448" s="25" t="s">
        <v>22</v>
      </c>
      <c r="F448" s="25">
        <v>10</v>
      </c>
      <c r="G448" s="29">
        <v>314.20999999999998</v>
      </c>
      <c r="H448" s="27">
        <v>0.05</v>
      </c>
      <c r="I448" s="29">
        <v>2984.98</v>
      </c>
      <c r="J448" s="29">
        <v>1704.58</v>
      </c>
      <c r="K448" s="29">
        <v>1280.3900000000001</v>
      </c>
      <c r="L448" s="27">
        <f>(Table2[[#This Row],[Profit]]/Table2[[#This Row],[Revenue]])</f>
        <v>0.42894424753264682</v>
      </c>
    </row>
    <row r="449" spans="1:12" x14ac:dyDescent="0.3">
      <c r="A449" s="25" t="s">
        <v>473</v>
      </c>
      <c r="B449" s="26">
        <v>45666</v>
      </c>
      <c r="C449" s="25" t="s">
        <v>21</v>
      </c>
      <c r="D449" s="25" t="s">
        <v>13</v>
      </c>
      <c r="E449" s="25" t="s">
        <v>29</v>
      </c>
      <c r="F449" s="25">
        <v>2</v>
      </c>
      <c r="G449" s="29">
        <v>87.76</v>
      </c>
      <c r="H449" s="27">
        <v>0</v>
      </c>
      <c r="I449" s="29">
        <v>175.52</v>
      </c>
      <c r="J449" s="29">
        <v>119.78</v>
      </c>
      <c r="K449" s="29">
        <v>55.74</v>
      </c>
      <c r="L449" s="27">
        <f>(Table2[[#This Row],[Profit]]/Table2[[#This Row],[Revenue]])</f>
        <v>0.31757064721969008</v>
      </c>
    </row>
    <row r="450" spans="1:12" x14ac:dyDescent="0.3">
      <c r="A450" s="25" t="s">
        <v>474</v>
      </c>
      <c r="B450" s="26">
        <v>45701</v>
      </c>
      <c r="C450" s="25" t="s">
        <v>28</v>
      </c>
      <c r="D450" s="25" t="s">
        <v>33</v>
      </c>
      <c r="E450" s="25" t="s">
        <v>14</v>
      </c>
      <c r="F450" s="25">
        <v>9</v>
      </c>
      <c r="G450" s="29">
        <v>144.81</v>
      </c>
      <c r="H450" s="27">
        <v>0</v>
      </c>
      <c r="I450" s="29">
        <v>1303.31</v>
      </c>
      <c r="J450" s="29">
        <v>960.82</v>
      </c>
      <c r="K450" s="29">
        <v>342.48</v>
      </c>
      <c r="L450" s="27">
        <f>(Table2[[#This Row],[Profit]]/Table2[[#This Row],[Revenue]])</f>
        <v>0.2627770829656797</v>
      </c>
    </row>
    <row r="451" spans="1:12" x14ac:dyDescent="0.3">
      <c r="A451" s="25" t="s">
        <v>475</v>
      </c>
      <c r="B451" s="26">
        <v>45959</v>
      </c>
      <c r="C451" s="25" t="s">
        <v>16</v>
      </c>
      <c r="D451" s="25" t="s">
        <v>33</v>
      </c>
      <c r="E451" s="25" t="s">
        <v>18</v>
      </c>
      <c r="F451" s="25">
        <v>11</v>
      </c>
      <c r="G451" s="29">
        <v>85.29</v>
      </c>
      <c r="H451" s="27">
        <v>0.1</v>
      </c>
      <c r="I451" s="29">
        <v>844.42</v>
      </c>
      <c r="J451" s="29">
        <v>619.22</v>
      </c>
      <c r="K451" s="29">
        <v>225.2</v>
      </c>
      <c r="L451" s="27">
        <f>(Table2[[#This Row],[Profit]]/Table2[[#This Row],[Revenue]])</f>
        <v>0.26669193055588453</v>
      </c>
    </row>
    <row r="452" spans="1:12" x14ac:dyDescent="0.3">
      <c r="A452" s="25" t="s">
        <v>476</v>
      </c>
      <c r="B452" s="26">
        <v>45874</v>
      </c>
      <c r="C452" s="25" t="s">
        <v>21</v>
      </c>
      <c r="D452" s="25" t="s">
        <v>17</v>
      </c>
      <c r="E452" s="25" t="s">
        <v>29</v>
      </c>
      <c r="F452" s="25">
        <v>4</v>
      </c>
      <c r="G452" s="29">
        <v>752.44</v>
      </c>
      <c r="H452" s="27">
        <v>0</v>
      </c>
      <c r="I452" s="29">
        <v>3009.76</v>
      </c>
      <c r="J452" s="29">
        <v>1621.98</v>
      </c>
      <c r="K452" s="29">
        <v>1387.79</v>
      </c>
      <c r="L452" s="27">
        <f>(Table2[[#This Row],[Profit]]/Table2[[#This Row],[Revenue]])</f>
        <v>0.46109656583913661</v>
      </c>
    </row>
    <row r="453" spans="1:12" x14ac:dyDescent="0.3">
      <c r="A453" s="25" t="s">
        <v>477</v>
      </c>
      <c r="B453" s="26">
        <v>45815</v>
      </c>
      <c r="C453" s="25" t="s">
        <v>16</v>
      </c>
      <c r="D453" s="25" t="s">
        <v>17</v>
      </c>
      <c r="E453" s="25" t="s">
        <v>24</v>
      </c>
      <c r="F453" s="25">
        <v>9</v>
      </c>
      <c r="G453" s="29">
        <v>248.34</v>
      </c>
      <c r="H453" s="27">
        <v>0.05</v>
      </c>
      <c r="I453" s="29">
        <v>2123.31</v>
      </c>
      <c r="J453" s="29">
        <v>1598.4</v>
      </c>
      <c r="K453" s="29">
        <v>524.91</v>
      </c>
      <c r="L453" s="27">
        <f>(Table2[[#This Row],[Profit]]/Table2[[#This Row],[Revenue]])</f>
        <v>0.24721307769473133</v>
      </c>
    </row>
    <row r="454" spans="1:12" x14ac:dyDescent="0.3">
      <c r="A454" s="25" t="s">
        <v>478</v>
      </c>
      <c r="B454" s="26">
        <v>45774</v>
      </c>
      <c r="C454" s="25" t="s">
        <v>28</v>
      </c>
      <c r="D454" s="25" t="s">
        <v>33</v>
      </c>
      <c r="E454" s="25" t="s">
        <v>26</v>
      </c>
      <c r="F454" s="25">
        <v>10</v>
      </c>
      <c r="G454" s="29">
        <v>496.73</v>
      </c>
      <c r="H454" s="27">
        <v>0.2</v>
      </c>
      <c r="I454" s="29">
        <v>3973.87</v>
      </c>
      <c r="J454" s="29">
        <v>2581.06</v>
      </c>
      <c r="K454" s="29">
        <v>1392.81</v>
      </c>
      <c r="L454" s="27">
        <f>(Table2[[#This Row],[Profit]]/Table2[[#This Row],[Revenue]])</f>
        <v>0.35049208957514966</v>
      </c>
    </row>
    <row r="455" spans="1:12" x14ac:dyDescent="0.3">
      <c r="A455" s="25" t="s">
        <v>479</v>
      </c>
      <c r="B455" s="26">
        <v>45972</v>
      </c>
      <c r="C455" s="25" t="s">
        <v>16</v>
      </c>
      <c r="D455" s="25" t="s">
        <v>33</v>
      </c>
      <c r="E455" s="25" t="s">
        <v>14</v>
      </c>
      <c r="F455" s="25">
        <v>1</v>
      </c>
      <c r="G455" s="29">
        <v>766.53</v>
      </c>
      <c r="H455" s="27">
        <v>0.05</v>
      </c>
      <c r="I455" s="29">
        <v>728.21</v>
      </c>
      <c r="J455" s="29">
        <v>528.67999999999995</v>
      </c>
      <c r="K455" s="29">
        <v>199.52</v>
      </c>
      <c r="L455" s="27">
        <f>(Table2[[#This Row],[Profit]]/Table2[[#This Row],[Revenue]])</f>
        <v>0.27398689938341964</v>
      </c>
    </row>
    <row r="456" spans="1:12" x14ac:dyDescent="0.3">
      <c r="A456" s="25" t="s">
        <v>480</v>
      </c>
      <c r="B456" s="26">
        <v>45914</v>
      </c>
      <c r="C456" s="25" t="s">
        <v>28</v>
      </c>
      <c r="D456" s="25" t="s">
        <v>33</v>
      </c>
      <c r="E456" s="25" t="s">
        <v>29</v>
      </c>
      <c r="F456" s="25">
        <v>11</v>
      </c>
      <c r="G456" s="29">
        <v>278.18</v>
      </c>
      <c r="H456" s="27">
        <v>0</v>
      </c>
      <c r="I456" s="29">
        <v>3060.01</v>
      </c>
      <c r="J456" s="29">
        <v>2345.0500000000002</v>
      </c>
      <c r="K456" s="29">
        <v>714.96</v>
      </c>
      <c r="L456" s="27">
        <f>(Table2[[#This Row],[Profit]]/Table2[[#This Row],[Revenue]])</f>
        <v>0.23364629527354486</v>
      </c>
    </row>
    <row r="457" spans="1:12" x14ac:dyDescent="0.3">
      <c r="A457" s="25" t="s">
        <v>481</v>
      </c>
      <c r="B457" s="26">
        <v>46011</v>
      </c>
      <c r="C457" s="25" t="s">
        <v>21</v>
      </c>
      <c r="D457" s="25" t="s">
        <v>13</v>
      </c>
      <c r="E457" s="25" t="s">
        <v>22</v>
      </c>
      <c r="F457" s="25">
        <v>5</v>
      </c>
      <c r="G457" s="29">
        <v>705.17</v>
      </c>
      <c r="H457" s="27">
        <v>0.2</v>
      </c>
      <c r="I457" s="29">
        <v>2820.7</v>
      </c>
      <c r="J457" s="29">
        <v>1453.76</v>
      </c>
      <c r="K457" s="29">
        <v>1366.94</v>
      </c>
      <c r="L457" s="27">
        <f>(Table2[[#This Row],[Profit]]/Table2[[#This Row],[Revenue]])</f>
        <v>0.48461020314106434</v>
      </c>
    </row>
    <row r="458" spans="1:12" x14ac:dyDescent="0.3">
      <c r="A458" s="25" t="s">
        <v>482</v>
      </c>
      <c r="B458" s="26">
        <v>45882</v>
      </c>
      <c r="C458" s="25" t="s">
        <v>16</v>
      </c>
      <c r="D458" s="25" t="s">
        <v>13</v>
      </c>
      <c r="E458" s="25" t="s">
        <v>14</v>
      </c>
      <c r="F458" s="25">
        <v>1</v>
      </c>
      <c r="G458" s="29">
        <v>882.92</v>
      </c>
      <c r="H458" s="27">
        <v>0.1</v>
      </c>
      <c r="I458" s="29">
        <v>794.63</v>
      </c>
      <c r="J458" s="29">
        <v>530.91999999999996</v>
      </c>
      <c r="K458" s="29">
        <v>263.70999999999998</v>
      </c>
      <c r="L458" s="27">
        <f>(Table2[[#This Row],[Profit]]/Table2[[#This Row],[Revenue]])</f>
        <v>0.33186514478436502</v>
      </c>
    </row>
    <row r="459" spans="1:12" x14ac:dyDescent="0.3">
      <c r="A459" s="25" t="s">
        <v>483</v>
      </c>
      <c r="B459" s="26">
        <v>45966</v>
      </c>
      <c r="C459" s="25" t="s">
        <v>12</v>
      </c>
      <c r="D459" s="25" t="s">
        <v>17</v>
      </c>
      <c r="E459" s="25" t="s">
        <v>29</v>
      </c>
      <c r="F459" s="25">
        <v>6</v>
      </c>
      <c r="G459" s="29">
        <v>249.86</v>
      </c>
      <c r="H459" s="27">
        <v>0.05</v>
      </c>
      <c r="I459" s="29">
        <v>1424.22</v>
      </c>
      <c r="J459" s="29">
        <v>807.91</v>
      </c>
      <c r="K459" s="29">
        <v>616.30999999999995</v>
      </c>
      <c r="L459" s="27">
        <f>(Table2[[#This Row],[Profit]]/Table2[[#This Row],[Revenue]])</f>
        <v>0.43273511114855845</v>
      </c>
    </row>
    <row r="460" spans="1:12" x14ac:dyDescent="0.3">
      <c r="A460" s="25" t="s">
        <v>484</v>
      </c>
      <c r="B460" s="26">
        <v>45811</v>
      </c>
      <c r="C460" s="25" t="s">
        <v>12</v>
      </c>
      <c r="D460" s="25" t="s">
        <v>13</v>
      </c>
      <c r="E460" s="25" t="s">
        <v>14</v>
      </c>
      <c r="F460" s="25">
        <v>2</v>
      </c>
      <c r="G460" s="29">
        <v>538.15</v>
      </c>
      <c r="H460" s="27">
        <v>0.05</v>
      </c>
      <c r="I460" s="29">
        <v>1022.48</v>
      </c>
      <c r="J460" s="29">
        <v>513.1</v>
      </c>
      <c r="K460" s="29">
        <v>509.37</v>
      </c>
      <c r="L460" s="27">
        <f>(Table2[[#This Row],[Profit]]/Table2[[#This Row],[Revenue]])</f>
        <v>0.49817111337141068</v>
      </c>
    </row>
    <row r="461" spans="1:12" x14ac:dyDescent="0.3">
      <c r="A461" s="25" t="s">
        <v>485</v>
      </c>
      <c r="B461" s="26">
        <v>45726</v>
      </c>
      <c r="C461" s="25" t="s">
        <v>28</v>
      </c>
      <c r="D461" s="25" t="s">
        <v>33</v>
      </c>
      <c r="E461" s="25" t="s">
        <v>34</v>
      </c>
      <c r="F461" s="25">
        <v>10</v>
      </c>
      <c r="G461" s="29">
        <v>171.49</v>
      </c>
      <c r="H461" s="27">
        <v>0.05</v>
      </c>
      <c r="I461" s="29">
        <v>1629.11</v>
      </c>
      <c r="J461" s="29">
        <v>1286.6099999999999</v>
      </c>
      <c r="K461" s="29">
        <v>342.5</v>
      </c>
      <c r="L461" s="27">
        <f>(Table2[[#This Row],[Profit]]/Table2[[#This Row],[Revenue]])</f>
        <v>0.21023749163653777</v>
      </c>
    </row>
    <row r="462" spans="1:12" x14ac:dyDescent="0.3">
      <c r="A462" s="25" t="s">
        <v>486</v>
      </c>
      <c r="B462" s="26">
        <v>45848</v>
      </c>
      <c r="C462" s="25" t="s">
        <v>16</v>
      </c>
      <c r="D462" s="25" t="s">
        <v>13</v>
      </c>
      <c r="E462" s="25" t="s">
        <v>29</v>
      </c>
      <c r="F462" s="25">
        <v>5</v>
      </c>
      <c r="G462" s="29">
        <v>156.83000000000001</v>
      </c>
      <c r="H462" s="27">
        <v>0</v>
      </c>
      <c r="I462" s="29">
        <v>784.16</v>
      </c>
      <c r="J462" s="29">
        <v>417.2</v>
      </c>
      <c r="K462" s="29">
        <v>366.96</v>
      </c>
      <c r="L462" s="27">
        <f>(Table2[[#This Row],[Profit]]/Table2[[#This Row],[Revenue]])</f>
        <v>0.46796572128137115</v>
      </c>
    </row>
    <row r="463" spans="1:12" x14ac:dyDescent="0.3">
      <c r="A463" s="25" t="s">
        <v>487</v>
      </c>
      <c r="B463" s="26">
        <v>45992</v>
      </c>
      <c r="C463" s="25" t="s">
        <v>12</v>
      </c>
      <c r="D463" s="25" t="s">
        <v>13</v>
      </c>
      <c r="E463" s="25" t="s">
        <v>34</v>
      </c>
      <c r="F463" s="25">
        <v>4</v>
      </c>
      <c r="G463" s="29">
        <v>417.14</v>
      </c>
      <c r="H463" s="27">
        <v>0.05</v>
      </c>
      <c r="I463" s="29">
        <v>1585.12</v>
      </c>
      <c r="J463" s="29">
        <v>1162.4100000000001</v>
      </c>
      <c r="K463" s="29">
        <v>422.71</v>
      </c>
      <c r="L463" s="27">
        <f>(Table2[[#This Row],[Profit]]/Table2[[#This Row],[Revenue]])</f>
        <v>0.2666738164933885</v>
      </c>
    </row>
    <row r="464" spans="1:12" x14ac:dyDescent="0.3">
      <c r="A464" s="25" t="s">
        <v>488</v>
      </c>
      <c r="B464" s="26">
        <v>45861</v>
      </c>
      <c r="C464" s="25" t="s">
        <v>12</v>
      </c>
      <c r="D464" s="25" t="s">
        <v>33</v>
      </c>
      <c r="E464" s="25" t="s">
        <v>31</v>
      </c>
      <c r="F464" s="25">
        <v>3</v>
      </c>
      <c r="G464" s="29">
        <v>768.13</v>
      </c>
      <c r="H464" s="27">
        <v>0.1</v>
      </c>
      <c r="I464" s="29">
        <v>2073.94</v>
      </c>
      <c r="J464" s="29">
        <v>1007.1</v>
      </c>
      <c r="K464" s="29">
        <v>1066.8399999999999</v>
      </c>
      <c r="L464" s="27">
        <f>(Table2[[#This Row],[Profit]]/Table2[[#This Row],[Revenue]])</f>
        <v>0.51440253816407411</v>
      </c>
    </row>
    <row r="465" spans="1:12" x14ac:dyDescent="0.3">
      <c r="A465" s="25" t="s">
        <v>489</v>
      </c>
      <c r="B465" s="26">
        <v>46015</v>
      </c>
      <c r="C465" s="25" t="s">
        <v>12</v>
      </c>
      <c r="D465" s="25" t="s">
        <v>13</v>
      </c>
      <c r="E465" s="25" t="s">
        <v>22</v>
      </c>
      <c r="F465" s="25">
        <v>5</v>
      </c>
      <c r="G465" s="29">
        <v>591.70000000000005</v>
      </c>
      <c r="H465" s="27">
        <v>0.05</v>
      </c>
      <c r="I465" s="29">
        <v>2810.57</v>
      </c>
      <c r="J465" s="29">
        <v>1847.77</v>
      </c>
      <c r="K465" s="29">
        <v>962.8</v>
      </c>
      <c r="L465" s="27">
        <f>(Table2[[#This Row],[Profit]]/Table2[[#This Row],[Revenue]])</f>
        <v>0.34256396389344507</v>
      </c>
    </row>
    <row r="466" spans="1:12" x14ac:dyDescent="0.3">
      <c r="A466" s="25" t="s">
        <v>490</v>
      </c>
      <c r="B466" s="26">
        <v>45738</v>
      </c>
      <c r="C466" s="25" t="s">
        <v>12</v>
      </c>
      <c r="D466" s="25" t="s">
        <v>17</v>
      </c>
      <c r="E466" s="25" t="s">
        <v>24</v>
      </c>
      <c r="F466" s="25">
        <v>6</v>
      </c>
      <c r="G466" s="29">
        <v>436.29</v>
      </c>
      <c r="H466" s="27">
        <v>0.05</v>
      </c>
      <c r="I466" s="29">
        <v>2486.87</v>
      </c>
      <c r="J466" s="29">
        <v>1539.96</v>
      </c>
      <c r="K466" s="29">
        <v>946.91</v>
      </c>
      <c r="L466" s="27">
        <f>(Table2[[#This Row],[Profit]]/Table2[[#This Row],[Revenue]])</f>
        <v>0.38076377132700945</v>
      </c>
    </row>
    <row r="467" spans="1:12" x14ac:dyDescent="0.3">
      <c r="A467" s="25" t="s">
        <v>491</v>
      </c>
      <c r="B467" s="26">
        <v>45821</v>
      </c>
      <c r="C467" s="25" t="s">
        <v>16</v>
      </c>
      <c r="D467" s="25" t="s">
        <v>33</v>
      </c>
      <c r="E467" s="25" t="s">
        <v>34</v>
      </c>
      <c r="F467" s="25">
        <v>8</v>
      </c>
      <c r="G467" s="29">
        <v>476.94</v>
      </c>
      <c r="H467" s="27">
        <v>0.15</v>
      </c>
      <c r="I467" s="29">
        <v>3243.19</v>
      </c>
      <c r="J467" s="29">
        <v>1508.45</v>
      </c>
      <c r="K467" s="29">
        <v>1734.74</v>
      </c>
      <c r="L467" s="27">
        <f>(Table2[[#This Row],[Profit]]/Table2[[#This Row],[Revenue]])</f>
        <v>0.53488694772739187</v>
      </c>
    </row>
    <row r="468" spans="1:12" x14ac:dyDescent="0.3">
      <c r="A468" s="25" t="s">
        <v>492</v>
      </c>
      <c r="B468" s="26">
        <v>45861</v>
      </c>
      <c r="C468" s="25" t="s">
        <v>21</v>
      </c>
      <c r="D468" s="25" t="s">
        <v>17</v>
      </c>
      <c r="E468" s="25" t="s">
        <v>14</v>
      </c>
      <c r="F468" s="25">
        <v>8</v>
      </c>
      <c r="G468" s="29">
        <v>679.26</v>
      </c>
      <c r="H468" s="27">
        <v>0</v>
      </c>
      <c r="I468" s="29">
        <v>5434.11</v>
      </c>
      <c r="J468" s="29">
        <v>3864.5</v>
      </c>
      <c r="K468" s="29">
        <v>1569.61</v>
      </c>
      <c r="L468" s="27">
        <f>(Table2[[#This Row],[Profit]]/Table2[[#This Row],[Revenue]])</f>
        <v>0.28884398733187217</v>
      </c>
    </row>
    <row r="469" spans="1:12" x14ac:dyDescent="0.3">
      <c r="A469" s="25" t="s">
        <v>493</v>
      </c>
      <c r="B469" s="26">
        <v>45775</v>
      </c>
      <c r="C469" s="25" t="s">
        <v>28</v>
      </c>
      <c r="D469" s="25" t="s">
        <v>33</v>
      </c>
      <c r="E469" s="25" t="s">
        <v>26</v>
      </c>
      <c r="F469" s="25">
        <v>6</v>
      </c>
      <c r="G469" s="29">
        <v>554.69000000000005</v>
      </c>
      <c r="H469" s="27">
        <v>0.15</v>
      </c>
      <c r="I469" s="29">
        <v>2828.93</v>
      </c>
      <c r="J469" s="29">
        <v>1850.19</v>
      </c>
      <c r="K469" s="29">
        <v>978.74</v>
      </c>
      <c r="L469" s="27">
        <f>(Table2[[#This Row],[Profit]]/Table2[[#This Row],[Revenue]])</f>
        <v>0.34597533342995412</v>
      </c>
    </row>
    <row r="470" spans="1:12" x14ac:dyDescent="0.3">
      <c r="A470" s="25" t="s">
        <v>494</v>
      </c>
      <c r="B470" s="26">
        <v>45881</v>
      </c>
      <c r="C470" s="25" t="s">
        <v>28</v>
      </c>
      <c r="D470" s="25" t="s">
        <v>17</v>
      </c>
      <c r="E470" s="25" t="s">
        <v>18</v>
      </c>
      <c r="F470" s="25">
        <v>5</v>
      </c>
      <c r="G470" s="29">
        <v>494.61</v>
      </c>
      <c r="H470" s="27">
        <v>0.05</v>
      </c>
      <c r="I470" s="29">
        <v>2349.39</v>
      </c>
      <c r="J470" s="29">
        <v>1652.02</v>
      </c>
      <c r="K470" s="29">
        <v>697.37</v>
      </c>
      <c r="L470" s="27">
        <f>(Table2[[#This Row],[Profit]]/Table2[[#This Row],[Revenue]])</f>
        <v>0.29683024104129158</v>
      </c>
    </row>
    <row r="471" spans="1:12" x14ac:dyDescent="0.3">
      <c r="A471" s="25" t="s">
        <v>495</v>
      </c>
      <c r="B471" s="26">
        <v>45799</v>
      </c>
      <c r="C471" s="25" t="s">
        <v>12</v>
      </c>
      <c r="D471" s="25" t="s">
        <v>33</v>
      </c>
      <c r="E471" s="25" t="s">
        <v>18</v>
      </c>
      <c r="F471" s="25">
        <v>6</v>
      </c>
      <c r="G471" s="29">
        <v>677.95</v>
      </c>
      <c r="H471" s="27">
        <v>0.1</v>
      </c>
      <c r="I471" s="29">
        <v>3660.94</v>
      </c>
      <c r="J471" s="29">
        <v>2756.72</v>
      </c>
      <c r="K471" s="29">
        <v>904.22</v>
      </c>
      <c r="L471" s="27">
        <f>(Table2[[#This Row],[Profit]]/Table2[[#This Row],[Revenue]])</f>
        <v>0.24699120990783788</v>
      </c>
    </row>
    <row r="472" spans="1:12" x14ac:dyDescent="0.3">
      <c r="A472" s="25" t="s">
        <v>496</v>
      </c>
      <c r="B472" s="26">
        <v>45681</v>
      </c>
      <c r="C472" s="25" t="s">
        <v>12</v>
      </c>
      <c r="D472" s="25" t="s">
        <v>17</v>
      </c>
      <c r="E472" s="25" t="s">
        <v>22</v>
      </c>
      <c r="F472" s="25">
        <v>1</v>
      </c>
      <c r="G472" s="29">
        <v>233.73</v>
      </c>
      <c r="H472" s="27">
        <v>0</v>
      </c>
      <c r="I472" s="29">
        <v>233.73</v>
      </c>
      <c r="J472" s="29">
        <v>169.02</v>
      </c>
      <c r="K472" s="29">
        <v>64.709999999999994</v>
      </c>
      <c r="L472" s="27">
        <f>(Table2[[#This Row],[Profit]]/Table2[[#This Row],[Revenue]])</f>
        <v>0.27685791297651136</v>
      </c>
    </row>
    <row r="473" spans="1:12" x14ac:dyDescent="0.3">
      <c r="A473" s="25" t="s">
        <v>497</v>
      </c>
      <c r="B473" s="26">
        <v>45898</v>
      </c>
      <c r="C473" s="25" t="s">
        <v>21</v>
      </c>
      <c r="D473" s="25" t="s">
        <v>33</v>
      </c>
      <c r="E473" s="25" t="s">
        <v>18</v>
      </c>
      <c r="F473" s="25">
        <v>8</v>
      </c>
      <c r="G473" s="29">
        <v>651.69000000000005</v>
      </c>
      <c r="H473" s="27">
        <v>0.15</v>
      </c>
      <c r="I473" s="29">
        <v>4431.5</v>
      </c>
      <c r="J473" s="29">
        <v>2221.09</v>
      </c>
      <c r="K473" s="29">
        <v>2210.42</v>
      </c>
      <c r="L473" s="27">
        <f>(Table2[[#This Row],[Profit]]/Table2[[#This Row],[Revenue]])</f>
        <v>0.49879724698183459</v>
      </c>
    </row>
    <row r="474" spans="1:12" x14ac:dyDescent="0.3">
      <c r="A474" s="25" t="s">
        <v>498</v>
      </c>
      <c r="B474" s="26">
        <v>45863</v>
      </c>
      <c r="C474" s="25" t="s">
        <v>12</v>
      </c>
      <c r="D474" s="25" t="s">
        <v>13</v>
      </c>
      <c r="E474" s="25" t="s">
        <v>29</v>
      </c>
      <c r="F474" s="25">
        <v>8</v>
      </c>
      <c r="G474" s="29">
        <v>273.70999999999998</v>
      </c>
      <c r="H474" s="27">
        <v>0.05</v>
      </c>
      <c r="I474" s="29">
        <v>2080.23</v>
      </c>
      <c r="J474" s="29">
        <v>1013.91</v>
      </c>
      <c r="K474" s="29">
        <v>1066.32</v>
      </c>
      <c r="L474" s="27">
        <f>(Table2[[#This Row],[Profit]]/Table2[[#This Row],[Revenue]])</f>
        <v>0.51259716473659156</v>
      </c>
    </row>
    <row r="475" spans="1:12" x14ac:dyDescent="0.3">
      <c r="A475" s="25" t="s">
        <v>499</v>
      </c>
      <c r="B475" s="26">
        <v>45875</v>
      </c>
      <c r="C475" s="25" t="s">
        <v>12</v>
      </c>
      <c r="D475" s="25" t="s">
        <v>33</v>
      </c>
      <c r="E475" s="25" t="s">
        <v>31</v>
      </c>
      <c r="F475" s="25">
        <v>8</v>
      </c>
      <c r="G475" s="29">
        <v>344.55</v>
      </c>
      <c r="H475" s="27">
        <v>0</v>
      </c>
      <c r="I475" s="29">
        <v>2756.44</v>
      </c>
      <c r="J475" s="29">
        <v>1482.03</v>
      </c>
      <c r="K475" s="29">
        <v>1274.4000000000001</v>
      </c>
      <c r="L475" s="27">
        <f>(Table2[[#This Row],[Profit]]/Table2[[#This Row],[Revenue]])</f>
        <v>0.46233547619393134</v>
      </c>
    </row>
    <row r="476" spans="1:12" x14ac:dyDescent="0.3">
      <c r="A476" s="25" t="s">
        <v>500</v>
      </c>
      <c r="B476" s="26">
        <v>45848</v>
      </c>
      <c r="C476" s="25" t="s">
        <v>21</v>
      </c>
      <c r="D476" s="25" t="s">
        <v>17</v>
      </c>
      <c r="E476" s="25" t="s">
        <v>22</v>
      </c>
      <c r="F476" s="28">
        <v>9</v>
      </c>
      <c r="G476" s="29">
        <v>501.67</v>
      </c>
      <c r="H476" s="27">
        <v>0</v>
      </c>
      <c r="I476" s="29">
        <v>4514.99</v>
      </c>
      <c r="J476" s="29">
        <v>3568.39</v>
      </c>
      <c r="K476" s="29">
        <v>946.6</v>
      </c>
      <c r="L476" s="27">
        <f>(Table2[[#This Row],[Profit]]/Table2[[#This Row],[Revenue]])</f>
        <v>0.20965716424621098</v>
      </c>
    </row>
    <row r="477" spans="1:12" x14ac:dyDescent="0.3">
      <c r="A477" s="25" t="s">
        <v>501</v>
      </c>
      <c r="B477" s="26">
        <v>45995</v>
      </c>
      <c r="C477" s="25" t="s">
        <v>12</v>
      </c>
      <c r="D477" s="25" t="s">
        <v>13</v>
      </c>
      <c r="E477" s="25" t="s">
        <v>18</v>
      </c>
      <c r="F477" s="28">
        <v>4</v>
      </c>
      <c r="G477" s="29">
        <v>378.58</v>
      </c>
      <c r="H477" s="27">
        <v>0.1</v>
      </c>
      <c r="I477" s="29">
        <v>1362.89</v>
      </c>
      <c r="J477" s="29">
        <v>814.69</v>
      </c>
      <c r="K477" s="29">
        <v>548.20000000000005</v>
      </c>
      <c r="L477" s="27">
        <f>(Table2[[#This Row],[Profit]]/Table2[[#This Row],[Revenue]])</f>
        <v>0.40223348912971701</v>
      </c>
    </row>
    <row r="478" spans="1:12" x14ac:dyDescent="0.3">
      <c r="A478" s="25" t="s">
        <v>502</v>
      </c>
      <c r="B478" s="26">
        <v>45929</v>
      </c>
      <c r="C478" s="25" t="s">
        <v>16</v>
      </c>
      <c r="D478" s="25" t="s">
        <v>17</v>
      </c>
      <c r="E478" s="25" t="s">
        <v>34</v>
      </c>
      <c r="F478" s="28">
        <v>11</v>
      </c>
      <c r="G478" s="29">
        <v>521.98</v>
      </c>
      <c r="H478" s="27">
        <v>0.15</v>
      </c>
      <c r="I478" s="29">
        <v>4880.55</v>
      </c>
      <c r="J478" s="29">
        <v>3339.3</v>
      </c>
      <c r="K478" s="29">
        <v>1541.25</v>
      </c>
      <c r="L478" s="27">
        <f>(Table2[[#This Row],[Profit]]/Table2[[#This Row],[Revenue]])</f>
        <v>0.3157943264591081</v>
      </c>
    </row>
    <row r="479" spans="1:12" x14ac:dyDescent="0.3">
      <c r="A479" s="25" t="s">
        <v>503</v>
      </c>
      <c r="B479" s="26">
        <v>45661</v>
      </c>
      <c r="C479" s="25" t="s">
        <v>12</v>
      </c>
      <c r="D479" s="25" t="s">
        <v>33</v>
      </c>
      <c r="E479" s="25" t="s">
        <v>31</v>
      </c>
      <c r="F479" s="28">
        <v>3</v>
      </c>
      <c r="G479" s="29">
        <v>388</v>
      </c>
      <c r="H479" s="27">
        <v>0</v>
      </c>
      <c r="I479" s="29">
        <v>1164.01</v>
      </c>
      <c r="J479" s="29">
        <v>747.85</v>
      </c>
      <c r="K479" s="29">
        <v>416.17</v>
      </c>
      <c r="L479" s="27">
        <f>(Table2[[#This Row],[Profit]]/Table2[[#This Row],[Revenue]])</f>
        <v>0.35753129268648898</v>
      </c>
    </row>
    <row r="480" spans="1:12" x14ac:dyDescent="0.3">
      <c r="A480" s="25" t="s">
        <v>504</v>
      </c>
      <c r="B480" s="26">
        <v>45915</v>
      </c>
      <c r="C480" s="25" t="s">
        <v>28</v>
      </c>
      <c r="D480" s="25" t="s">
        <v>17</v>
      </c>
      <c r="E480" s="25" t="s">
        <v>31</v>
      </c>
      <c r="F480" s="28">
        <v>3</v>
      </c>
      <c r="G480" s="29">
        <v>62.14</v>
      </c>
      <c r="H480" s="27">
        <v>0.05</v>
      </c>
      <c r="I480" s="29">
        <v>177.11</v>
      </c>
      <c r="J480" s="29">
        <v>137.59</v>
      </c>
      <c r="K480" s="29">
        <v>39.520000000000003</v>
      </c>
      <c r="L480" s="27">
        <f>(Table2[[#This Row],[Profit]]/Table2[[#This Row],[Revenue]])</f>
        <v>0.22313816272373102</v>
      </c>
    </row>
    <row r="481" spans="1:12" x14ac:dyDescent="0.3">
      <c r="A481" s="25" t="s">
        <v>505</v>
      </c>
      <c r="B481" s="26">
        <v>45988</v>
      </c>
      <c r="C481" s="25" t="s">
        <v>16</v>
      </c>
      <c r="D481" s="25" t="s">
        <v>13</v>
      </c>
      <c r="E481" s="25" t="s">
        <v>34</v>
      </c>
      <c r="F481" s="28">
        <v>10</v>
      </c>
      <c r="G481" s="29">
        <v>502.47</v>
      </c>
      <c r="H481" s="27">
        <v>0.05</v>
      </c>
      <c r="I481" s="29">
        <v>4773.5</v>
      </c>
      <c r="J481" s="29">
        <v>3147.05</v>
      </c>
      <c r="K481" s="29">
        <v>1626.45</v>
      </c>
      <c r="L481" s="27">
        <f>(Table2[[#This Row],[Profit]]/Table2[[#This Row],[Revenue]])</f>
        <v>0.34072483502670997</v>
      </c>
    </row>
    <row r="482" spans="1:12" x14ac:dyDescent="0.3">
      <c r="A482" s="25" t="s">
        <v>506</v>
      </c>
      <c r="B482" s="26">
        <v>45980</v>
      </c>
      <c r="C482" s="25" t="s">
        <v>12</v>
      </c>
      <c r="D482" s="25" t="s">
        <v>33</v>
      </c>
      <c r="E482" s="25" t="s">
        <v>18</v>
      </c>
      <c r="F482" s="28">
        <v>4</v>
      </c>
      <c r="G482" s="29">
        <v>538.73</v>
      </c>
      <c r="H482" s="27">
        <v>0.1</v>
      </c>
      <c r="I482" s="29">
        <v>1939.42</v>
      </c>
      <c r="J482" s="29">
        <v>1129.31</v>
      </c>
      <c r="K482" s="29">
        <v>810.11</v>
      </c>
      <c r="L482" s="27">
        <f>(Table2[[#This Row],[Profit]]/Table2[[#This Row],[Revenue]])</f>
        <v>0.41770735580740631</v>
      </c>
    </row>
    <row r="483" spans="1:12" x14ac:dyDescent="0.3">
      <c r="A483" s="25" t="s">
        <v>507</v>
      </c>
      <c r="B483" s="26">
        <v>45998</v>
      </c>
      <c r="C483" s="25" t="s">
        <v>16</v>
      </c>
      <c r="D483" s="25" t="s">
        <v>17</v>
      </c>
      <c r="E483" s="25" t="s">
        <v>22</v>
      </c>
      <c r="F483" s="28">
        <v>5</v>
      </c>
      <c r="G483" s="29">
        <v>196.53</v>
      </c>
      <c r="H483" s="27">
        <v>0.2</v>
      </c>
      <c r="I483" s="29">
        <v>786.11</v>
      </c>
      <c r="J483" s="29">
        <v>359.49</v>
      </c>
      <c r="K483" s="29">
        <v>426.62</v>
      </c>
      <c r="L483" s="27">
        <f>(Table2[[#This Row],[Profit]]/Table2[[#This Row],[Revenue]])</f>
        <v>0.54269758685171288</v>
      </c>
    </row>
    <row r="484" spans="1:12" x14ac:dyDescent="0.3">
      <c r="A484" s="25" t="s">
        <v>508</v>
      </c>
      <c r="B484" s="26">
        <v>45927</v>
      </c>
      <c r="C484" s="25" t="s">
        <v>21</v>
      </c>
      <c r="D484" s="25" t="s">
        <v>13</v>
      </c>
      <c r="E484" s="25" t="s">
        <v>22</v>
      </c>
      <c r="F484" s="28">
        <v>4</v>
      </c>
      <c r="G484" s="29">
        <v>350.14</v>
      </c>
      <c r="H484" s="27">
        <v>0</v>
      </c>
      <c r="I484" s="29">
        <v>1400.54</v>
      </c>
      <c r="J484" s="29">
        <v>947.39</v>
      </c>
      <c r="K484" s="29">
        <v>453.15</v>
      </c>
      <c r="L484" s="27">
        <f>(Table2[[#This Row],[Profit]]/Table2[[#This Row],[Revenue]])</f>
        <v>0.32355377211646935</v>
      </c>
    </row>
    <row r="485" spans="1:12" x14ac:dyDescent="0.3">
      <c r="A485" s="25" t="s">
        <v>509</v>
      </c>
      <c r="B485" s="26">
        <v>45899</v>
      </c>
      <c r="C485" s="25" t="s">
        <v>12</v>
      </c>
      <c r="D485" s="25" t="s">
        <v>13</v>
      </c>
      <c r="E485" s="25" t="s">
        <v>34</v>
      </c>
      <c r="F485" s="28">
        <v>8</v>
      </c>
      <c r="G485" s="29">
        <v>369.33</v>
      </c>
      <c r="H485" s="27">
        <v>0.2</v>
      </c>
      <c r="I485" s="29">
        <v>2363.73</v>
      </c>
      <c r="J485" s="29">
        <v>1284.1400000000001</v>
      </c>
      <c r="K485" s="29">
        <v>1079.5899999999999</v>
      </c>
      <c r="L485" s="27">
        <f>(Table2[[#This Row],[Profit]]/Table2[[#This Row],[Revenue]])</f>
        <v>0.45673152178971366</v>
      </c>
    </row>
    <row r="486" spans="1:12" x14ac:dyDescent="0.3">
      <c r="A486" s="25" t="s">
        <v>510</v>
      </c>
      <c r="B486" s="26">
        <v>45681</v>
      </c>
      <c r="C486" s="25" t="s">
        <v>16</v>
      </c>
      <c r="D486" s="25" t="s">
        <v>13</v>
      </c>
      <c r="E486" s="25" t="s">
        <v>26</v>
      </c>
      <c r="F486" s="28">
        <v>6</v>
      </c>
      <c r="G486" s="29">
        <v>757.9</v>
      </c>
      <c r="H486" s="27">
        <v>0.1</v>
      </c>
      <c r="I486" s="29">
        <v>4092.67</v>
      </c>
      <c r="J486" s="29">
        <v>3213.92</v>
      </c>
      <c r="K486" s="29">
        <v>878.75</v>
      </c>
      <c r="L486" s="27">
        <f>(Table2[[#This Row],[Profit]]/Table2[[#This Row],[Revenue]])</f>
        <v>0.21471313348009979</v>
      </c>
    </row>
    <row r="487" spans="1:12" x14ac:dyDescent="0.3">
      <c r="A487" s="25" t="s">
        <v>511</v>
      </c>
      <c r="B487" s="26">
        <v>45929</v>
      </c>
      <c r="C487" s="25" t="s">
        <v>21</v>
      </c>
      <c r="D487" s="25" t="s">
        <v>13</v>
      </c>
      <c r="E487" s="25" t="s">
        <v>14</v>
      </c>
      <c r="F487" s="28">
        <v>8</v>
      </c>
      <c r="G487" s="29">
        <v>617.99</v>
      </c>
      <c r="H487" s="27">
        <v>0.1</v>
      </c>
      <c r="I487" s="29">
        <v>4449.53</v>
      </c>
      <c r="J487" s="29">
        <v>2325.7399999999998</v>
      </c>
      <c r="K487" s="29">
        <v>2123.79</v>
      </c>
      <c r="L487" s="27">
        <f>(Table2[[#This Row],[Profit]]/Table2[[#This Row],[Revenue]])</f>
        <v>0.47730659193218161</v>
      </c>
    </row>
    <row r="488" spans="1:12" x14ac:dyDescent="0.3">
      <c r="A488" s="25" t="s">
        <v>512</v>
      </c>
      <c r="B488" s="26">
        <v>45891</v>
      </c>
      <c r="C488" s="25" t="s">
        <v>28</v>
      </c>
      <c r="D488" s="25" t="s">
        <v>13</v>
      </c>
      <c r="E488" s="25" t="s">
        <v>29</v>
      </c>
      <c r="F488" s="28">
        <v>4</v>
      </c>
      <c r="G488" s="29">
        <v>420.55</v>
      </c>
      <c r="H488" s="27">
        <v>0</v>
      </c>
      <c r="I488" s="29">
        <v>1682.19</v>
      </c>
      <c r="J488" s="29">
        <v>1201.75</v>
      </c>
      <c r="K488" s="29">
        <v>480.44</v>
      </c>
      <c r="L488" s="27">
        <f>(Table2[[#This Row],[Profit]]/Table2[[#This Row],[Revenue]])</f>
        <v>0.28560388541127935</v>
      </c>
    </row>
    <row r="489" spans="1:12" x14ac:dyDescent="0.3">
      <c r="A489" s="25" t="s">
        <v>513</v>
      </c>
      <c r="B489" s="26">
        <v>45753</v>
      </c>
      <c r="C489" s="25" t="s">
        <v>16</v>
      </c>
      <c r="D489" s="25" t="s">
        <v>13</v>
      </c>
      <c r="E489" s="25" t="s">
        <v>24</v>
      </c>
      <c r="F489" s="28">
        <v>7</v>
      </c>
      <c r="G489" s="29">
        <v>611.29</v>
      </c>
      <c r="H489" s="27">
        <v>0.1</v>
      </c>
      <c r="I489" s="29">
        <v>3851.11</v>
      </c>
      <c r="J489" s="29">
        <v>2857.89</v>
      </c>
      <c r="K489" s="29">
        <v>993.21</v>
      </c>
      <c r="L489" s="27">
        <f>(Table2[[#This Row],[Profit]]/Table2[[#This Row],[Revenue]])</f>
        <v>0.25790226713856523</v>
      </c>
    </row>
    <row r="490" spans="1:12" x14ac:dyDescent="0.3">
      <c r="A490" s="25" t="s">
        <v>514</v>
      </c>
      <c r="B490" s="26">
        <v>45671</v>
      </c>
      <c r="C490" s="25" t="s">
        <v>28</v>
      </c>
      <c r="D490" s="25" t="s">
        <v>33</v>
      </c>
      <c r="E490" s="25" t="s">
        <v>22</v>
      </c>
      <c r="F490" s="28">
        <v>5</v>
      </c>
      <c r="G490" s="29">
        <v>403.93</v>
      </c>
      <c r="H490" s="27">
        <v>0</v>
      </c>
      <c r="I490" s="29">
        <v>2019.65</v>
      </c>
      <c r="J490" s="29">
        <v>942.49</v>
      </c>
      <c r="K490" s="29">
        <v>1077.1600000000001</v>
      </c>
      <c r="L490" s="27">
        <f>(Table2[[#This Row],[Profit]]/Table2[[#This Row],[Revenue]])</f>
        <v>0.53333993513727629</v>
      </c>
    </row>
    <row r="491" spans="1:12" x14ac:dyDescent="0.3">
      <c r="A491" s="25" t="s">
        <v>515</v>
      </c>
      <c r="B491" s="26">
        <v>45686</v>
      </c>
      <c r="C491" s="25" t="s">
        <v>16</v>
      </c>
      <c r="D491" s="25" t="s">
        <v>17</v>
      </c>
      <c r="E491" s="25" t="s">
        <v>22</v>
      </c>
      <c r="F491" s="28">
        <v>5</v>
      </c>
      <c r="G491" s="29">
        <v>221.64</v>
      </c>
      <c r="H491" s="27">
        <v>0.1</v>
      </c>
      <c r="I491" s="29">
        <v>997.4</v>
      </c>
      <c r="J491" s="29">
        <v>571.36</v>
      </c>
      <c r="K491" s="29">
        <v>426.04</v>
      </c>
      <c r="L491" s="27">
        <f>(Table2[[#This Row],[Profit]]/Table2[[#This Row],[Revenue]])</f>
        <v>0.42715059153799884</v>
      </c>
    </row>
    <row r="492" spans="1:12" x14ac:dyDescent="0.3">
      <c r="A492" s="25" t="s">
        <v>516</v>
      </c>
      <c r="B492" s="26">
        <v>45880</v>
      </c>
      <c r="C492" s="25" t="s">
        <v>21</v>
      </c>
      <c r="D492" s="25" t="s">
        <v>17</v>
      </c>
      <c r="E492" s="25" t="s">
        <v>31</v>
      </c>
      <c r="F492" s="28">
        <v>5</v>
      </c>
      <c r="G492" s="29">
        <v>426.01</v>
      </c>
      <c r="H492" s="27">
        <v>0.05</v>
      </c>
      <c r="I492" s="29">
        <v>2023.56</v>
      </c>
      <c r="J492" s="29">
        <v>1308.9100000000001</v>
      </c>
      <c r="K492" s="29">
        <v>714.66</v>
      </c>
      <c r="L492" s="27">
        <f>(Table2[[#This Row],[Profit]]/Table2[[#This Row],[Revenue]])</f>
        <v>0.35316966138883948</v>
      </c>
    </row>
    <row r="493" spans="1:12" x14ac:dyDescent="0.3">
      <c r="A493" s="25" t="s">
        <v>517</v>
      </c>
      <c r="B493" s="26">
        <v>45944</v>
      </c>
      <c r="C493" s="25" t="s">
        <v>16</v>
      </c>
      <c r="D493" s="25" t="s">
        <v>13</v>
      </c>
      <c r="E493" s="25" t="s">
        <v>24</v>
      </c>
      <c r="F493" s="28">
        <v>7</v>
      </c>
      <c r="G493" s="29">
        <v>443.09</v>
      </c>
      <c r="H493" s="27">
        <v>0.15</v>
      </c>
      <c r="I493" s="29">
        <v>2636.39</v>
      </c>
      <c r="J493" s="29">
        <v>1271.29</v>
      </c>
      <c r="K493" s="29">
        <v>1365.1</v>
      </c>
      <c r="L493" s="27">
        <f>(Table2[[#This Row],[Profit]]/Table2[[#This Row],[Revenue]])</f>
        <v>0.51779137381039986</v>
      </c>
    </row>
    <row r="494" spans="1:12" x14ac:dyDescent="0.3">
      <c r="A494" s="25" t="s">
        <v>518</v>
      </c>
      <c r="B494" s="26">
        <v>45683</v>
      </c>
      <c r="C494" s="25" t="s">
        <v>21</v>
      </c>
      <c r="D494" s="25" t="s">
        <v>17</v>
      </c>
      <c r="E494" s="25" t="s">
        <v>22</v>
      </c>
      <c r="F494" s="28">
        <v>9</v>
      </c>
      <c r="G494" s="29">
        <v>409.11</v>
      </c>
      <c r="H494" s="27">
        <v>0.15</v>
      </c>
      <c r="I494" s="29">
        <v>3129.69</v>
      </c>
      <c r="J494" s="29">
        <v>1996.62</v>
      </c>
      <c r="K494" s="29">
        <v>1133.07</v>
      </c>
      <c r="L494" s="27">
        <f>(Table2[[#This Row],[Profit]]/Table2[[#This Row],[Revenue]])</f>
        <v>0.36203905179107193</v>
      </c>
    </row>
    <row r="495" spans="1:12" x14ac:dyDescent="0.3">
      <c r="A495" s="25" t="s">
        <v>519</v>
      </c>
      <c r="B495" s="26">
        <v>46001</v>
      </c>
      <c r="C495" s="25" t="s">
        <v>21</v>
      </c>
      <c r="D495" s="25" t="s">
        <v>33</v>
      </c>
      <c r="E495" s="25" t="s">
        <v>22</v>
      </c>
      <c r="F495" s="28">
        <v>10</v>
      </c>
      <c r="G495" s="29">
        <v>317.19</v>
      </c>
      <c r="H495" s="27">
        <v>0.05</v>
      </c>
      <c r="I495" s="29">
        <v>3013.32</v>
      </c>
      <c r="J495" s="29">
        <v>1581.27</v>
      </c>
      <c r="K495" s="29">
        <v>1432.05</v>
      </c>
      <c r="L495" s="27">
        <f>(Table2[[#This Row],[Profit]]/Table2[[#This Row],[Revenue]])</f>
        <v>0.47523993468997644</v>
      </c>
    </row>
    <row r="496" spans="1:12" x14ac:dyDescent="0.3">
      <c r="A496" s="25" t="s">
        <v>520</v>
      </c>
      <c r="B496" s="26">
        <v>45755</v>
      </c>
      <c r="C496" s="25" t="s">
        <v>12</v>
      </c>
      <c r="D496" s="25" t="s">
        <v>33</v>
      </c>
      <c r="E496" s="25" t="s">
        <v>24</v>
      </c>
      <c r="F496" s="28">
        <v>11</v>
      </c>
      <c r="G496" s="29">
        <v>117.82</v>
      </c>
      <c r="H496" s="27">
        <v>0.15</v>
      </c>
      <c r="I496" s="29">
        <v>1101.5899999999999</v>
      </c>
      <c r="J496" s="29">
        <v>713.32</v>
      </c>
      <c r="K496" s="29">
        <v>388.26</v>
      </c>
      <c r="L496" s="27">
        <f>(Table2[[#This Row],[Profit]]/Table2[[#This Row],[Revenue]])</f>
        <v>0.35245417986728278</v>
      </c>
    </row>
    <row r="497" spans="1:12" x14ac:dyDescent="0.3">
      <c r="A497" s="25" t="s">
        <v>521</v>
      </c>
      <c r="B497" s="26">
        <v>45998</v>
      </c>
      <c r="C497" s="25" t="s">
        <v>28</v>
      </c>
      <c r="D497" s="25" t="s">
        <v>33</v>
      </c>
      <c r="E497" s="25" t="s">
        <v>18</v>
      </c>
      <c r="F497" s="28">
        <v>10</v>
      </c>
      <c r="G497" s="29">
        <v>817.59</v>
      </c>
      <c r="H497" s="27">
        <v>0.15</v>
      </c>
      <c r="I497" s="29">
        <v>6949.49</v>
      </c>
      <c r="J497" s="29">
        <v>3679.99</v>
      </c>
      <c r="K497" s="29">
        <v>3269.49</v>
      </c>
      <c r="L497" s="27">
        <f>(Table2[[#This Row],[Profit]]/Table2[[#This Row],[Revenue]])</f>
        <v>0.47046473913913106</v>
      </c>
    </row>
    <row r="498" spans="1:12" x14ac:dyDescent="0.3">
      <c r="A498" s="25" t="s">
        <v>522</v>
      </c>
      <c r="B498" s="26">
        <v>45701</v>
      </c>
      <c r="C498" s="25" t="s">
        <v>21</v>
      </c>
      <c r="D498" s="25" t="s">
        <v>17</v>
      </c>
      <c r="E498" s="25" t="s">
        <v>18</v>
      </c>
      <c r="F498" s="28">
        <v>1</v>
      </c>
      <c r="G498" s="29">
        <v>462.72</v>
      </c>
      <c r="H498" s="27">
        <v>0.05</v>
      </c>
      <c r="I498" s="29">
        <v>439.58</v>
      </c>
      <c r="J498" s="29">
        <v>343.02</v>
      </c>
      <c r="K498" s="29">
        <v>96.56</v>
      </c>
      <c r="L498" s="27">
        <f>(Table2[[#This Row],[Profit]]/Table2[[#This Row],[Revenue]])</f>
        <v>0.21966422494199009</v>
      </c>
    </row>
    <row r="499" spans="1:12" x14ac:dyDescent="0.3">
      <c r="A499" s="25" t="s">
        <v>523</v>
      </c>
      <c r="B499" s="26">
        <v>45735</v>
      </c>
      <c r="C499" s="25" t="s">
        <v>12</v>
      </c>
      <c r="D499" s="25" t="s">
        <v>17</v>
      </c>
      <c r="E499" s="25" t="s">
        <v>22</v>
      </c>
      <c r="F499" s="28">
        <v>2</v>
      </c>
      <c r="G499" s="29">
        <v>424.18</v>
      </c>
      <c r="H499" s="27">
        <v>0.1</v>
      </c>
      <c r="I499" s="29">
        <v>763.53</v>
      </c>
      <c r="J499" s="29">
        <v>369.08</v>
      </c>
      <c r="K499" s="29">
        <v>394.45</v>
      </c>
      <c r="L499" s="27">
        <f>(Table2[[#This Row],[Profit]]/Table2[[#This Row],[Revenue]])</f>
        <v>0.51661362356423457</v>
      </c>
    </row>
    <row r="500" spans="1:12" x14ac:dyDescent="0.3">
      <c r="A500" s="25" t="s">
        <v>524</v>
      </c>
      <c r="B500" s="26">
        <v>45994</v>
      </c>
      <c r="C500" s="25" t="s">
        <v>16</v>
      </c>
      <c r="D500" s="25" t="s">
        <v>17</v>
      </c>
      <c r="E500" s="25" t="s">
        <v>22</v>
      </c>
      <c r="F500" s="28">
        <v>2</v>
      </c>
      <c r="G500" s="29">
        <v>459.31</v>
      </c>
      <c r="H500" s="27">
        <v>0</v>
      </c>
      <c r="I500" s="29">
        <v>918.63</v>
      </c>
      <c r="J500" s="29">
        <v>480.27</v>
      </c>
      <c r="K500" s="29">
        <v>438.36</v>
      </c>
      <c r="L500" s="27">
        <f>(Table2[[#This Row],[Profit]]/Table2[[#This Row],[Revenue]])</f>
        <v>0.47718885732013977</v>
      </c>
    </row>
    <row r="501" spans="1:12" x14ac:dyDescent="0.3">
      <c r="A501" s="25" t="s">
        <v>525</v>
      </c>
      <c r="B501" s="26">
        <v>45808</v>
      </c>
      <c r="C501" s="25" t="s">
        <v>16</v>
      </c>
      <c r="D501" s="25" t="s">
        <v>17</v>
      </c>
      <c r="E501" s="25" t="s">
        <v>26</v>
      </c>
      <c r="F501" s="28">
        <v>11</v>
      </c>
      <c r="G501" s="29">
        <v>593.09</v>
      </c>
      <c r="H501" s="27">
        <v>0.05</v>
      </c>
      <c r="I501" s="29">
        <v>6197.74</v>
      </c>
      <c r="J501" s="29">
        <v>4492.21</v>
      </c>
      <c r="K501" s="29">
        <v>1705.53</v>
      </c>
      <c r="L501" s="27">
        <f>(Table2[[#This Row],[Profit]]/Table2[[#This Row],[Revenue]])</f>
        <v>0.27518579353119038</v>
      </c>
    </row>
    <row r="502" spans="1:12" x14ac:dyDescent="0.3">
      <c r="G502" s="19"/>
      <c r="I502" s="29"/>
      <c r="J502" s="29"/>
      <c r="K502" s="19"/>
    </row>
    <row r="503" spans="1:12" x14ac:dyDescent="0.3">
      <c r="G503" s="19"/>
      <c r="I503" s="29"/>
      <c r="J503" s="29"/>
      <c r="K503" s="19"/>
    </row>
    <row r="504" spans="1:12" x14ac:dyDescent="0.3">
      <c r="G504" s="19"/>
      <c r="I504" s="29"/>
      <c r="J504" s="29"/>
      <c r="K504" s="19"/>
    </row>
    <row r="505" spans="1:12" x14ac:dyDescent="0.3">
      <c r="G505" s="19"/>
      <c r="I505" s="29"/>
      <c r="J505" s="29"/>
      <c r="K505" s="19"/>
    </row>
    <row r="506" spans="1:12" x14ac:dyDescent="0.3">
      <c r="G506" s="19"/>
      <c r="I506" s="29"/>
      <c r="J506" s="29"/>
      <c r="K506" s="19"/>
    </row>
    <row r="507" spans="1:12" x14ac:dyDescent="0.3">
      <c r="G507" s="19"/>
      <c r="I507" s="29"/>
      <c r="J507" s="29"/>
      <c r="K507" s="19"/>
    </row>
    <row r="508" spans="1:12" x14ac:dyDescent="0.3">
      <c r="G508" s="19"/>
      <c r="I508" s="29"/>
      <c r="J508" s="29"/>
      <c r="K508" s="19"/>
    </row>
    <row r="509" spans="1:12" x14ac:dyDescent="0.3">
      <c r="G509" s="19"/>
      <c r="I509" s="29"/>
      <c r="J509" s="29"/>
      <c r="K509" s="19"/>
    </row>
    <row r="510" spans="1:12" x14ac:dyDescent="0.3">
      <c r="G510" s="19"/>
      <c r="I510" s="29"/>
      <c r="J510" s="29"/>
      <c r="K510" s="19"/>
    </row>
    <row r="511" spans="1:12" x14ac:dyDescent="0.3">
      <c r="G511" s="19"/>
      <c r="I511" s="29"/>
      <c r="J511" s="29"/>
      <c r="K511" s="19"/>
    </row>
    <row r="512" spans="1:12" x14ac:dyDescent="0.3">
      <c r="G512" s="19"/>
      <c r="I512" s="29"/>
      <c r="J512" s="29"/>
      <c r="K512" s="19"/>
    </row>
    <row r="513" spans="7:11" x14ac:dyDescent="0.3">
      <c r="G513" s="19"/>
      <c r="I513" s="29"/>
      <c r="J513" s="29"/>
      <c r="K513" s="19"/>
    </row>
    <row r="514" spans="7:11" x14ac:dyDescent="0.3">
      <c r="G514" s="19"/>
      <c r="I514" s="29"/>
      <c r="J514" s="29"/>
      <c r="K514" s="19"/>
    </row>
    <row r="515" spans="7:11" x14ac:dyDescent="0.3">
      <c r="G515" s="19"/>
      <c r="I515" s="29"/>
      <c r="J515" s="29"/>
      <c r="K515" s="19"/>
    </row>
    <row r="516" spans="7:11" x14ac:dyDescent="0.3">
      <c r="G516" s="19"/>
      <c r="I516" s="29"/>
      <c r="J516" s="29"/>
      <c r="K516" s="19"/>
    </row>
    <row r="517" spans="7:11" x14ac:dyDescent="0.3">
      <c r="G517" s="19"/>
      <c r="I517" s="29"/>
      <c r="J517" s="29"/>
      <c r="K517" s="19"/>
    </row>
    <row r="518" spans="7:11" x14ac:dyDescent="0.3">
      <c r="G518" s="19"/>
      <c r="I518" s="29"/>
      <c r="J518" s="29"/>
      <c r="K518" s="19"/>
    </row>
    <row r="519" spans="7:11" x14ac:dyDescent="0.3">
      <c r="G519" s="19"/>
      <c r="I519" s="29"/>
      <c r="J519" s="29"/>
      <c r="K519" s="19"/>
    </row>
    <row r="520" spans="7:11" x14ac:dyDescent="0.3">
      <c r="G520" s="19"/>
      <c r="I520" s="29"/>
      <c r="J520" s="29"/>
      <c r="K520" s="19"/>
    </row>
    <row r="521" spans="7:11" x14ac:dyDescent="0.3">
      <c r="G521" s="19"/>
      <c r="I521" s="29"/>
      <c r="J521" s="29"/>
      <c r="K521" s="19"/>
    </row>
    <row r="522" spans="7:11" x14ac:dyDescent="0.3">
      <c r="G522" s="19"/>
      <c r="I522" s="29"/>
      <c r="J522" s="29"/>
      <c r="K522" s="19"/>
    </row>
    <row r="523" spans="7:11" x14ac:dyDescent="0.3">
      <c r="G523" s="19"/>
      <c r="I523" s="29"/>
      <c r="J523" s="29"/>
      <c r="K523" s="19"/>
    </row>
    <row r="524" spans="7:11" x14ac:dyDescent="0.3">
      <c r="G524" s="19"/>
      <c r="I524" s="29"/>
      <c r="J524" s="29"/>
      <c r="K524" s="19"/>
    </row>
    <row r="525" spans="7:11" x14ac:dyDescent="0.3">
      <c r="G525" s="19"/>
      <c r="I525" s="29"/>
      <c r="J525" s="29"/>
      <c r="K525" s="19"/>
    </row>
    <row r="526" spans="7:11" x14ac:dyDescent="0.3">
      <c r="G526" s="19"/>
      <c r="I526" s="29"/>
      <c r="J526" s="29"/>
      <c r="K526" s="19"/>
    </row>
    <row r="527" spans="7:11" x14ac:dyDescent="0.3">
      <c r="G527" s="19"/>
      <c r="I527" s="29"/>
      <c r="J527" s="29"/>
      <c r="K527" s="19"/>
    </row>
    <row r="528" spans="7:11" x14ac:dyDescent="0.3">
      <c r="G528" s="19"/>
      <c r="I528" s="29"/>
      <c r="J528" s="29"/>
      <c r="K528" s="19"/>
    </row>
    <row r="529" spans="7:11" x14ac:dyDescent="0.3">
      <c r="G529" s="19"/>
      <c r="I529" s="29"/>
      <c r="J529" s="29"/>
      <c r="K529" s="19"/>
    </row>
    <row r="530" spans="7:11" x14ac:dyDescent="0.3">
      <c r="G530" s="19"/>
      <c r="I530" s="29"/>
      <c r="J530" s="29"/>
      <c r="K530" s="19"/>
    </row>
    <row r="531" spans="7:11" x14ac:dyDescent="0.3">
      <c r="G531" s="19"/>
      <c r="I531" s="29"/>
      <c r="J531" s="29"/>
      <c r="K531" s="19"/>
    </row>
    <row r="532" spans="7:11" x14ac:dyDescent="0.3">
      <c r="G532" s="19"/>
      <c r="I532" s="29"/>
      <c r="J532" s="29"/>
      <c r="K532" s="19"/>
    </row>
    <row r="533" spans="7:11" x14ac:dyDescent="0.3">
      <c r="G533" s="19"/>
      <c r="I533" s="29"/>
      <c r="J533" s="29"/>
      <c r="K533" s="19"/>
    </row>
    <row r="534" spans="7:11" x14ac:dyDescent="0.3">
      <c r="G534" s="19"/>
      <c r="I534" s="29"/>
      <c r="J534" s="29"/>
      <c r="K534" s="19"/>
    </row>
    <row r="535" spans="7:11" x14ac:dyDescent="0.3">
      <c r="G535" s="19"/>
      <c r="I535" s="29"/>
      <c r="J535" s="29"/>
      <c r="K535" s="19"/>
    </row>
    <row r="536" spans="7:11" x14ac:dyDescent="0.3">
      <c r="G536" s="19"/>
      <c r="I536" s="29"/>
      <c r="J536" s="29"/>
      <c r="K536" s="19"/>
    </row>
    <row r="537" spans="7:11" x14ac:dyDescent="0.3">
      <c r="G537" s="19"/>
      <c r="I537" s="29"/>
      <c r="J537" s="29"/>
      <c r="K537" s="19"/>
    </row>
    <row r="538" spans="7:11" x14ac:dyDescent="0.3">
      <c r="G538" s="19"/>
      <c r="I538" s="29"/>
      <c r="J538" s="29"/>
      <c r="K538" s="19"/>
    </row>
    <row r="539" spans="7:11" x14ac:dyDescent="0.3">
      <c r="G539" s="19"/>
      <c r="I539" s="29"/>
      <c r="J539" s="29"/>
      <c r="K539" s="19"/>
    </row>
    <row r="540" spans="7:11" x14ac:dyDescent="0.3">
      <c r="G540" s="19"/>
      <c r="I540" s="29"/>
      <c r="J540" s="29"/>
      <c r="K540" s="19"/>
    </row>
    <row r="541" spans="7:11" x14ac:dyDescent="0.3">
      <c r="G541" s="19"/>
      <c r="I541" s="29"/>
      <c r="J541" s="29"/>
      <c r="K541" s="19"/>
    </row>
    <row r="542" spans="7:11" x14ac:dyDescent="0.3">
      <c r="G542" s="19"/>
      <c r="I542" s="29"/>
      <c r="J542" s="29"/>
      <c r="K542" s="19"/>
    </row>
    <row r="543" spans="7:11" x14ac:dyDescent="0.3">
      <c r="G543" s="19"/>
      <c r="I543" s="29"/>
      <c r="J543" s="29"/>
      <c r="K543" s="19"/>
    </row>
    <row r="544" spans="7:11" x14ac:dyDescent="0.3">
      <c r="G544" s="19"/>
      <c r="I544" s="29"/>
      <c r="J544" s="29"/>
      <c r="K544" s="19"/>
    </row>
    <row r="545" spans="7:11" x14ac:dyDescent="0.3">
      <c r="G545" s="19"/>
      <c r="I545" s="29"/>
      <c r="J545" s="29"/>
      <c r="K545" s="19"/>
    </row>
    <row r="546" spans="7:11" x14ac:dyDescent="0.3">
      <c r="G546" s="19"/>
      <c r="I546" s="29"/>
      <c r="J546" s="29"/>
      <c r="K546" s="19"/>
    </row>
    <row r="547" spans="7:11" x14ac:dyDescent="0.3">
      <c r="G547" s="19"/>
      <c r="I547" s="29"/>
      <c r="J547" s="29"/>
      <c r="K547" s="19"/>
    </row>
    <row r="548" spans="7:11" x14ac:dyDescent="0.3">
      <c r="G548" s="19"/>
      <c r="I548" s="29"/>
      <c r="J548" s="29"/>
      <c r="K548" s="19"/>
    </row>
    <row r="549" spans="7:11" x14ac:dyDescent="0.3">
      <c r="G549" s="19"/>
      <c r="I549" s="29"/>
      <c r="J549" s="29"/>
      <c r="K549" s="19"/>
    </row>
    <row r="550" spans="7:11" x14ac:dyDescent="0.3">
      <c r="G550" s="19"/>
      <c r="I550" s="29"/>
      <c r="J550" s="29"/>
      <c r="K550" s="19"/>
    </row>
    <row r="551" spans="7:11" x14ac:dyDescent="0.3">
      <c r="G551" s="19"/>
      <c r="I551" s="29"/>
      <c r="J551" s="29"/>
      <c r="K551" s="19"/>
    </row>
    <row r="552" spans="7:11" x14ac:dyDescent="0.3">
      <c r="G552" s="19"/>
      <c r="I552" s="29"/>
      <c r="J552" s="29"/>
      <c r="K552" s="19"/>
    </row>
    <row r="553" spans="7:11" x14ac:dyDescent="0.3">
      <c r="G553" s="19"/>
      <c r="I553" s="29"/>
      <c r="J553" s="29"/>
      <c r="K553" s="19"/>
    </row>
    <row r="554" spans="7:11" x14ac:dyDescent="0.3">
      <c r="G554" s="19"/>
      <c r="I554" s="29"/>
      <c r="J554" s="29"/>
      <c r="K554" s="19"/>
    </row>
    <row r="555" spans="7:11" x14ac:dyDescent="0.3">
      <c r="G555" s="19"/>
      <c r="I555" s="29"/>
      <c r="J555" s="29"/>
      <c r="K555" s="19"/>
    </row>
    <row r="556" spans="7:11" x14ac:dyDescent="0.3">
      <c r="G556" s="19"/>
      <c r="I556" s="29"/>
      <c r="J556" s="29"/>
      <c r="K556" s="19"/>
    </row>
    <row r="557" spans="7:11" x14ac:dyDescent="0.3">
      <c r="G557" s="19"/>
      <c r="I557" s="29"/>
      <c r="J557" s="29"/>
      <c r="K557" s="19"/>
    </row>
    <row r="558" spans="7:11" x14ac:dyDescent="0.3">
      <c r="G558" s="19"/>
      <c r="I558" s="29"/>
      <c r="J558" s="29"/>
      <c r="K558" s="19"/>
    </row>
    <row r="559" spans="7:11" x14ac:dyDescent="0.3">
      <c r="G559" s="19"/>
      <c r="I559" s="29"/>
      <c r="J559" s="29"/>
      <c r="K559" s="19"/>
    </row>
    <row r="560" spans="7:11" x14ac:dyDescent="0.3">
      <c r="G560" s="19"/>
      <c r="I560" s="29"/>
      <c r="J560" s="29"/>
      <c r="K560" s="19"/>
    </row>
    <row r="561" spans="7:11" x14ac:dyDescent="0.3">
      <c r="G561" s="19"/>
      <c r="I561" s="29"/>
      <c r="J561" s="29"/>
      <c r="K561" s="19"/>
    </row>
    <row r="562" spans="7:11" x14ac:dyDescent="0.3">
      <c r="G562" s="19"/>
      <c r="I562" s="29"/>
      <c r="J562" s="29"/>
      <c r="K562" s="19"/>
    </row>
    <row r="563" spans="7:11" x14ac:dyDescent="0.3">
      <c r="G563" s="19"/>
      <c r="I563" s="29"/>
      <c r="J563" s="29"/>
      <c r="K563" s="19"/>
    </row>
    <row r="564" spans="7:11" x14ac:dyDescent="0.3">
      <c r="G564" s="19"/>
      <c r="I564" s="29"/>
      <c r="J564" s="29"/>
      <c r="K564" s="19"/>
    </row>
    <row r="565" spans="7:11" x14ac:dyDescent="0.3">
      <c r="G565" s="19"/>
      <c r="I565" s="29"/>
      <c r="J565" s="29"/>
      <c r="K565" s="19"/>
    </row>
    <row r="566" spans="7:11" x14ac:dyDescent="0.3">
      <c r="G566" s="19"/>
      <c r="I566" s="29"/>
      <c r="J566" s="29"/>
      <c r="K566" s="19"/>
    </row>
    <row r="567" spans="7:11" x14ac:dyDescent="0.3">
      <c r="G567" s="19"/>
      <c r="I567" s="29"/>
      <c r="J567" s="29"/>
      <c r="K567" s="19"/>
    </row>
    <row r="568" spans="7:11" x14ac:dyDescent="0.3">
      <c r="G568" s="19"/>
      <c r="I568" s="29"/>
      <c r="J568" s="29"/>
      <c r="K568" s="19"/>
    </row>
    <row r="569" spans="7:11" x14ac:dyDescent="0.3">
      <c r="G569" s="19"/>
      <c r="I569" s="29"/>
      <c r="J569" s="29"/>
      <c r="K569" s="19"/>
    </row>
    <row r="570" spans="7:11" x14ac:dyDescent="0.3">
      <c r="G570" s="19"/>
      <c r="I570" s="29"/>
      <c r="J570" s="29"/>
      <c r="K570" s="19"/>
    </row>
    <row r="571" spans="7:11" x14ac:dyDescent="0.3">
      <c r="G571" s="19"/>
      <c r="I571" s="29"/>
      <c r="J571" s="29"/>
      <c r="K571" s="19"/>
    </row>
    <row r="572" spans="7:11" x14ac:dyDescent="0.3">
      <c r="G572" s="19"/>
      <c r="I572" s="29"/>
      <c r="J572" s="29"/>
      <c r="K572" s="19"/>
    </row>
    <row r="573" spans="7:11" x14ac:dyDescent="0.3">
      <c r="G573" s="19"/>
      <c r="I573" s="29"/>
      <c r="J573" s="29"/>
      <c r="K573" s="19"/>
    </row>
    <row r="574" spans="7:11" x14ac:dyDescent="0.3">
      <c r="G574" s="19"/>
      <c r="I574" s="29"/>
      <c r="J574" s="29"/>
      <c r="K574" s="19"/>
    </row>
    <row r="575" spans="7:11" x14ac:dyDescent="0.3">
      <c r="G575" s="19"/>
      <c r="I575" s="29"/>
      <c r="J575" s="29"/>
      <c r="K575" s="19"/>
    </row>
    <row r="576" spans="7:11" x14ac:dyDescent="0.3">
      <c r="G576" s="19"/>
      <c r="I576" s="29"/>
      <c r="J576" s="29"/>
      <c r="K576" s="19"/>
    </row>
    <row r="577" spans="7:11" x14ac:dyDescent="0.3">
      <c r="G577" s="19"/>
      <c r="I577" s="29"/>
      <c r="J577" s="29"/>
      <c r="K577" s="19"/>
    </row>
    <row r="578" spans="7:11" x14ac:dyDescent="0.3">
      <c r="G578" s="19"/>
      <c r="I578" s="29"/>
      <c r="J578" s="29"/>
      <c r="K578" s="19"/>
    </row>
    <row r="579" spans="7:11" x14ac:dyDescent="0.3">
      <c r="G579" s="19"/>
      <c r="I579" s="29"/>
      <c r="J579" s="29"/>
      <c r="K579" s="19"/>
    </row>
    <row r="580" spans="7:11" x14ac:dyDescent="0.3">
      <c r="G580" s="19"/>
      <c r="I580" s="29"/>
      <c r="J580" s="29"/>
      <c r="K580" s="19"/>
    </row>
    <row r="581" spans="7:11" x14ac:dyDescent="0.3">
      <c r="G581" s="19"/>
      <c r="I581" s="29"/>
      <c r="J581" s="29"/>
      <c r="K581" s="19"/>
    </row>
    <row r="582" spans="7:11" x14ac:dyDescent="0.3">
      <c r="G582" s="19"/>
      <c r="I582" s="29"/>
      <c r="J582" s="29"/>
      <c r="K582" s="19"/>
    </row>
    <row r="583" spans="7:11" x14ac:dyDescent="0.3">
      <c r="G583" s="19"/>
      <c r="I583" s="29"/>
      <c r="J583" s="29"/>
      <c r="K583" s="19"/>
    </row>
    <row r="584" spans="7:11" x14ac:dyDescent="0.3">
      <c r="G584" s="19"/>
      <c r="I584" s="29"/>
      <c r="J584" s="29"/>
      <c r="K584" s="19"/>
    </row>
    <row r="585" spans="7:11" x14ac:dyDescent="0.3">
      <c r="G585" s="19"/>
      <c r="I585" s="29"/>
      <c r="J585" s="29"/>
      <c r="K585" s="19"/>
    </row>
    <row r="586" spans="7:11" x14ac:dyDescent="0.3">
      <c r="G586" s="19"/>
      <c r="I586" s="29"/>
      <c r="J586" s="29"/>
      <c r="K586" s="19"/>
    </row>
    <row r="587" spans="7:11" x14ac:dyDescent="0.3">
      <c r="G587" s="19"/>
      <c r="I587" s="29"/>
      <c r="J587" s="29"/>
      <c r="K587" s="19"/>
    </row>
    <row r="588" spans="7:11" x14ac:dyDescent="0.3">
      <c r="G588" s="19"/>
      <c r="I588" s="29"/>
      <c r="J588" s="29"/>
      <c r="K588" s="19"/>
    </row>
    <row r="589" spans="7:11" x14ac:dyDescent="0.3">
      <c r="G589" s="19"/>
      <c r="I589" s="29"/>
      <c r="J589" s="29"/>
      <c r="K589" s="19"/>
    </row>
    <row r="590" spans="7:11" x14ac:dyDescent="0.3">
      <c r="G590" s="19"/>
      <c r="I590" s="29"/>
      <c r="J590" s="29"/>
      <c r="K590" s="19"/>
    </row>
    <row r="591" spans="7:11" x14ac:dyDescent="0.3">
      <c r="G591" s="19"/>
      <c r="I591" s="29"/>
      <c r="J591" s="29"/>
      <c r="K591" s="19"/>
    </row>
    <row r="592" spans="7:11" x14ac:dyDescent="0.3">
      <c r="G592" s="19"/>
      <c r="I592" s="29"/>
      <c r="J592" s="29"/>
      <c r="K592" s="19"/>
    </row>
    <row r="593" spans="7:11" x14ac:dyDescent="0.3">
      <c r="G593" s="19"/>
      <c r="I593" s="29"/>
      <c r="J593" s="29"/>
      <c r="K593" s="19"/>
    </row>
    <row r="594" spans="7:11" x14ac:dyDescent="0.3">
      <c r="G594" s="19"/>
      <c r="I594" s="29"/>
      <c r="J594" s="29"/>
      <c r="K594" s="19"/>
    </row>
    <row r="595" spans="7:11" x14ac:dyDescent="0.3">
      <c r="G595" s="19"/>
      <c r="I595" s="29"/>
      <c r="J595" s="29"/>
      <c r="K595" s="19"/>
    </row>
    <row r="596" spans="7:11" x14ac:dyDescent="0.3">
      <c r="G596" s="19"/>
      <c r="I596" s="29"/>
      <c r="J596" s="29"/>
      <c r="K596" s="19"/>
    </row>
    <row r="597" spans="7:11" x14ac:dyDescent="0.3">
      <c r="G597" s="19"/>
      <c r="I597" s="29"/>
      <c r="J597" s="29"/>
      <c r="K597" s="19"/>
    </row>
    <row r="598" spans="7:11" x14ac:dyDescent="0.3">
      <c r="G598" s="19"/>
      <c r="I598" s="29"/>
      <c r="J598" s="29"/>
      <c r="K598" s="19"/>
    </row>
    <row r="599" spans="7:11" x14ac:dyDescent="0.3">
      <c r="G599" s="19"/>
      <c r="I599" s="29"/>
      <c r="J599" s="29"/>
      <c r="K599" s="19"/>
    </row>
    <row r="600" spans="7:11" x14ac:dyDescent="0.3">
      <c r="G600" s="19"/>
      <c r="I600" s="29"/>
      <c r="J600" s="29"/>
      <c r="K600" s="19"/>
    </row>
    <row r="601" spans="7:11" x14ac:dyDescent="0.3">
      <c r="G601" s="19"/>
      <c r="I601" s="29"/>
      <c r="J601" s="29"/>
      <c r="K601" s="19"/>
    </row>
    <row r="602" spans="7:11" x14ac:dyDescent="0.3">
      <c r="G602" s="19"/>
      <c r="I602" s="29"/>
      <c r="J602" s="29"/>
      <c r="K602" s="19"/>
    </row>
    <row r="603" spans="7:11" x14ac:dyDescent="0.3">
      <c r="G603" s="19"/>
      <c r="I603" s="29"/>
      <c r="J603" s="29"/>
      <c r="K603" s="19"/>
    </row>
    <row r="604" spans="7:11" x14ac:dyDescent="0.3">
      <c r="G604" s="19"/>
      <c r="I604" s="29"/>
      <c r="J604" s="29"/>
      <c r="K604" s="19"/>
    </row>
    <row r="605" spans="7:11" x14ac:dyDescent="0.3">
      <c r="G605" s="19"/>
      <c r="I605" s="29"/>
      <c r="J605" s="29"/>
      <c r="K605" s="19"/>
    </row>
    <row r="606" spans="7:11" x14ac:dyDescent="0.3">
      <c r="G606" s="19"/>
      <c r="I606" s="29"/>
      <c r="J606" s="29"/>
      <c r="K606" s="19"/>
    </row>
    <row r="607" spans="7:11" x14ac:dyDescent="0.3">
      <c r="G607" s="19"/>
      <c r="I607" s="29"/>
      <c r="J607" s="29"/>
      <c r="K607" s="19"/>
    </row>
    <row r="608" spans="7:11" x14ac:dyDescent="0.3">
      <c r="G608" s="19"/>
      <c r="I608" s="29"/>
      <c r="J608" s="29"/>
      <c r="K608" s="19"/>
    </row>
    <row r="609" spans="7:11" x14ac:dyDescent="0.3">
      <c r="G609" s="19"/>
      <c r="I609" s="29"/>
      <c r="J609" s="29"/>
      <c r="K609" s="19"/>
    </row>
    <row r="610" spans="7:11" x14ac:dyDescent="0.3">
      <c r="G610" s="19"/>
      <c r="I610" s="29"/>
      <c r="J610" s="29"/>
      <c r="K610" s="19"/>
    </row>
    <row r="611" spans="7:11" x14ac:dyDescent="0.3">
      <c r="G611" s="19"/>
      <c r="I611" s="29"/>
      <c r="J611" s="29"/>
      <c r="K611" s="19"/>
    </row>
    <row r="612" spans="7:11" x14ac:dyDescent="0.3">
      <c r="G612" s="19"/>
      <c r="I612" s="29"/>
      <c r="J612" s="29"/>
      <c r="K612" s="19"/>
    </row>
    <row r="613" spans="7:11" x14ac:dyDescent="0.3">
      <c r="G613" s="19"/>
      <c r="I613" s="29"/>
      <c r="J613" s="29"/>
      <c r="K613" s="19"/>
    </row>
    <row r="614" spans="7:11" x14ac:dyDescent="0.3">
      <c r="G614" s="19"/>
      <c r="I614" s="29"/>
      <c r="J614" s="29"/>
      <c r="K614" s="19"/>
    </row>
    <row r="615" spans="7:11" x14ac:dyDescent="0.3">
      <c r="G615" s="19"/>
      <c r="I615" s="29"/>
      <c r="J615" s="29"/>
      <c r="K615" s="19"/>
    </row>
    <row r="616" spans="7:11" x14ac:dyDescent="0.3">
      <c r="G616" s="19"/>
      <c r="I616" s="29"/>
      <c r="J616" s="29"/>
      <c r="K616" s="19"/>
    </row>
    <row r="617" spans="7:11" x14ac:dyDescent="0.3">
      <c r="G617" s="19"/>
      <c r="I617" s="29"/>
      <c r="J617" s="29"/>
      <c r="K617" s="19"/>
    </row>
    <row r="618" spans="7:11" x14ac:dyDescent="0.3">
      <c r="G618" s="19"/>
      <c r="I618" s="29"/>
      <c r="J618" s="29"/>
      <c r="K618" s="19"/>
    </row>
    <row r="619" spans="7:11" x14ac:dyDescent="0.3">
      <c r="G619" s="19"/>
      <c r="I619" s="29"/>
      <c r="J619" s="29"/>
      <c r="K619" s="19"/>
    </row>
    <row r="620" spans="7:11" x14ac:dyDescent="0.3">
      <c r="G620" s="19"/>
      <c r="I620" s="29"/>
      <c r="J620" s="29"/>
      <c r="K620" s="19"/>
    </row>
    <row r="621" spans="7:11" x14ac:dyDescent="0.3">
      <c r="G621" s="19"/>
      <c r="I621" s="29"/>
      <c r="J621" s="29"/>
      <c r="K621" s="19"/>
    </row>
    <row r="622" spans="7:11" x14ac:dyDescent="0.3">
      <c r="G622" s="19"/>
      <c r="I622" s="29"/>
      <c r="J622" s="29"/>
      <c r="K622" s="19"/>
    </row>
    <row r="623" spans="7:11" x14ac:dyDescent="0.3">
      <c r="G623" s="19"/>
      <c r="I623" s="29"/>
      <c r="J623" s="29"/>
      <c r="K623" s="19"/>
    </row>
    <row r="624" spans="7:11" x14ac:dyDescent="0.3">
      <c r="G624" s="19"/>
      <c r="I624" s="29"/>
      <c r="J624" s="29"/>
      <c r="K624" s="19"/>
    </row>
    <row r="625" spans="7:11" x14ac:dyDescent="0.3">
      <c r="G625" s="19"/>
      <c r="I625" s="29"/>
      <c r="J625" s="29"/>
      <c r="K625" s="19"/>
    </row>
    <row r="626" spans="7:11" x14ac:dyDescent="0.3">
      <c r="G626" s="19"/>
      <c r="I626" s="29"/>
      <c r="J626" s="29"/>
      <c r="K626" s="19"/>
    </row>
    <row r="627" spans="7:11" x14ac:dyDescent="0.3">
      <c r="G627" s="19"/>
      <c r="I627" s="29"/>
      <c r="J627" s="29"/>
      <c r="K627" s="19"/>
    </row>
    <row r="628" spans="7:11" x14ac:dyDescent="0.3">
      <c r="G628" s="19"/>
      <c r="I628" s="29"/>
      <c r="J628" s="29"/>
      <c r="K628" s="19"/>
    </row>
    <row r="629" spans="7:11" x14ac:dyDescent="0.3">
      <c r="G629" s="19"/>
      <c r="I629" s="29"/>
      <c r="J629" s="29"/>
      <c r="K629" s="19"/>
    </row>
    <row r="630" spans="7:11" x14ac:dyDescent="0.3">
      <c r="G630" s="19"/>
      <c r="I630" s="29"/>
      <c r="J630" s="29"/>
      <c r="K630" s="19"/>
    </row>
    <row r="631" spans="7:11" x14ac:dyDescent="0.3">
      <c r="G631" s="19"/>
      <c r="I631" s="29"/>
      <c r="J631" s="29"/>
      <c r="K631" s="19"/>
    </row>
    <row r="632" spans="7:11" x14ac:dyDescent="0.3">
      <c r="G632" s="19"/>
      <c r="I632" s="29"/>
      <c r="J632" s="29"/>
      <c r="K632" s="19"/>
    </row>
    <row r="633" spans="7:11" x14ac:dyDescent="0.3">
      <c r="G633" s="19"/>
      <c r="I633" s="29"/>
      <c r="J633" s="29"/>
      <c r="K633" s="19"/>
    </row>
    <row r="634" spans="7:11" x14ac:dyDescent="0.3">
      <c r="G634" s="19"/>
      <c r="I634" s="29"/>
      <c r="J634" s="29"/>
      <c r="K634" s="19"/>
    </row>
    <row r="635" spans="7:11" x14ac:dyDescent="0.3">
      <c r="G635" s="19"/>
      <c r="I635" s="29"/>
      <c r="J635" s="29"/>
      <c r="K635" s="19"/>
    </row>
    <row r="636" spans="7:11" x14ac:dyDescent="0.3">
      <c r="G636" s="19"/>
      <c r="I636" s="29"/>
      <c r="J636" s="29"/>
      <c r="K636" s="19"/>
    </row>
    <row r="637" spans="7:11" x14ac:dyDescent="0.3">
      <c r="G637" s="19"/>
      <c r="I637" s="29"/>
      <c r="J637" s="29"/>
      <c r="K637" s="19"/>
    </row>
    <row r="638" spans="7:11" x14ac:dyDescent="0.3">
      <c r="G638" s="19"/>
      <c r="I638" s="29"/>
      <c r="J638" s="29"/>
      <c r="K638" s="19"/>
    </row>
    <row r="639" spans="7:11" x14ac:dyDescent="0.3">
      <c r="G639" s="19"/>
      <c r="I639" s="29"/>
      <c r="J639" s="29"/>
      <c r="K639" s="19"/>
    </row>
    <row r="640" spans="7:11" x14ac:dyDescent="0.3">
      <c r="G640" s="19"/>
      <c r="I640" s="29"/>
      <c r="J640" s="29"/>
      <c r="K640" s="19"/>
    </row>
    <row r="641" spans="7:11" x14ac:dyDescent="0.3">
      <c r="G641" s="19"/>
      <c r="I641" s="29"/>
      <c r="J641" s="29"/>
      <c r="K641" s="19"/>
    </row>
    <row r="642" spans="7:11" x14ac:dyDescent="0.3">
      <c r="G642" s="19"/>
      <c r="I642" s="29"/>
      <c r="J642" s="29"/>
      <c r="K642" s="19"/>
    </row>
    <row r="643" spans="7:11" x14ac:dyDescent="0.3">
      <c r="G643" s="19"/>
      <c r="I643" s="29"/>
      <c r="J643" s="29"/>
      <c r="K643" s="19"/>
    </row>
    <row r="644" spans="7:11" x14ac:dyDescent="0.3">
      <c r="G644" s="19"/>
      <c r="I644" s="29"/>
      <c r="J644" s="29"/>
      <c r="K644" s="19"/>
    </row>
    <row r="645" spans="7:11" x14ac:dyDescent="0.3">
      <c r="G645" s="19"/>
      <c r="I645" s="29"/>
      <c r="J645" s="29"/>
      <c r="K645" s="19"/>
    </row>
    <row r="646" spans="7:11" x14ac:dyDescent="0.3">
      <c r="G646" s="19"/>
      <c r="I646" s="29"/>
      <c r="J646" s="29"/>
      <c r="K646" s="19"/>
    </row>
    <row r="647" spans="7:11" x14ac:dyDescent="0.3">
      <c r="G647" s="19"/>
      <c r="I647" s="29"/>
      <c r="J647" s="29"/>
      <c r="K647" s="19"/>
    </row>
    <row r="648" spans="7:11" x14ac:dyDescent="0.3">
      <c r="G648" s="19"/>
      <c r="I648" s="29"/>
      <c r="J648" s="29"/>
      <c r="K648" s="19"/>
    </row>
    <row r="649" spans="7:11" x14ac:dyDescent="0.3">
      <c r="G649" s="19"/>
      <c r="I649" s="29"/>
      <c r="J649" s="29"/>
      <c r="K649" s="19"/>
    </row>
    <row r="650" spans="7:11" x14ac:dyDescent="0.3">
      <c r="G650" s="19"/>
      <c r="I650" s="29"/>
      <c r="J650" s="29"/>
      <c r="K650" s="19"/>
    </row>
    <row r="651" spans="7:11" x14ac:dyDescent="0.3">
      <c r="G651" s="19"/>
      <c r="I651" s="29"/>
      <c r="J651" s="29"/>
      <c r="K651" s="19"/>
    </row>
    <row r="652" spans="7:11" x14ac:dyDescent="0.3">
      <c r="G652" s="19"/>
      <c r="I652" s="29"/>
      <c r="J652" s="29"/>
      <c r="K652" s="19"/>
    </row>
    <row r="653" spans="7:11" x14ac:dyDescent="0.3">
      <c r="G653" s="19"/>
      <c r="I653" s="29"/>
      <c r="J653" s="29"/>
      <c r="K653" s="19"/>
    </row>
    <row r="654" spans="7:11" x14ac:dyDescent="0.3">
      <c r="G654" s="19"/>
      <c r="I654" s="29"/>
      <c r="J654" s="29"/>
      <c r="K654" s="19"/>
    </row>
    <row r="655" spans="7:11" x14ac:dyDescent="0.3">
      <c r="G655" s="19"/>
      <c r="I655" s="29"/>
      <c r="J655" s="29"/>
      <c r="K655" s="19"/>
    </row>
    <row r="656" spans="7:11" x14ac:dyDescent="0.3">
      <c r="G656" s="19"/>
      <c r="I656" s="29"/>
      <c r="J656" s="29"/>
      <c r="K656" s="19"/>
    </row>
    <row r="657" spans="7:11" x14ac:dyDescent="0.3">
      <c r="G657" s="19"/>
      <c r="I657" s="29"/>
      <c r="J657" s="29"/>
      <c r="K657" s="19"/>
    </row>
    <row r="658" spans="7:11" x14ac:dyDescent="0.3">
      <c r="G658" s="19"/>
      <c r="I658" s="29"/>
      <c r="J658" s="29"/>
      <c r="K658" s="19"/>
    </row>
    <row r="659" spans="7:11" x14ac:dyDescent="0.3">
      <c r="G659" s="19"/>
      <c r="I659" s="29"/>
      <c r="J659" s="29"/>
      <c r="K659" s="19"/>
    </row>
    <row r="660" spans="7:11" x14ac:dyDescent="0.3">
      <c r="G660" s="19"/>
      <c r="I660" s="29"/>
      <c r="J660" s="29"/>
      <c r="K660" s="19"/>
    </row>
    <row r="661" spans="7:11" x14ac:dyDescent="0.3">
      <c r="G661" s="19"/>
      <c r="I661" s="29"/>
      <c r="J661" s="29"/>
      <c r="K661" s="19"/>
    </row>
    <row r="662" spans="7:11" x14ac:dyDescent="0.3">
      <c r="G662" s="19"/>
      <c r="I662" s="29"/>
      <c r="J662" s="29"/>
      <c r="K662" s="19"/>
    </row>
    <row r="663" spans="7:11" x14ac:dyDescent="0.3">
      <c r="G663" s="19"/>
      <c r="I663" s="29"/>
      <c r="J663" s="29"/>
      <c r="K663" s="19"/>
    </row>
    <row r="664" spans="7:11" x14ac:dyDescent="0.3">
      <c r="G664" s="19"/>
      <c r="I664" s="29"/>
      <c r="J664" s="29"/>
      <c r="K664" s="19"/>
    </row>
    <row r="665" spans="7:11" x14ac:dyDescent="0.3">
      <c r="G665" s="19"/>
      <c r="I665" s="29"/>
      <c r="J665" s="29"/>
      <c r="K665" s="19"/>
    </row>
    <row r="666" spans="7:11" x14ac:dyDescent="0.3">
      <c r="G666" s="19"/>
      <c r="I666" s="29"/>
      <c r="J666" s="29"/>
      <c r="K666" s="19"/>
    </row>
    <row r="667" spans="7:11" x14ac:dyDescent="0.3">
      <c r="G667" s="19"/>
      <c r="I667" s="29"/>
      <c r="J667" s="29"/>
      <c r="K667" s="19"/>
    </row>
    <row r="668" spans="7:11" x14ac:dyDescent="0.3">
      <c r="G668" s="19"/>
      <c r="I668" s="29"/>
      <c r="J668" s="29"/>
      <c r="K668" s="19"/>
    </row>
    <row r="669" spans="7:11" x14ac:dyDescent="0.3">
      <c r="G669" s="19"/>
      <c r="I669" s="29"/>
      <c r="J669" s="29"/>
      <c r="K669" s="19"/>
    </row>
    <row r="670" spans="7:11" x14ac:dyDescent="0.3">
      <c r="G670" s="19"/>
      <c r="I670" s="29"/>
      <c r="J670" s="29"/>
      <c r="K670" s="19"/>
    </row>
    <row r="671" spans="7:11" x14ac:dyDescent="0.3">
      <c r="G671" s="19"/>
      <c r="I671" s="29"/>
      <c r="J671" s="29"/>
      <c r="K671" s="19"/>
    </row>
    <row r="672" spans="7:11" x14ac:dyDescent="0.3">
      <c r="G672" s="19"/>
      <c r="I672" s="29"/>
      <c r="J672" s="29"/>
      <c r="K672" s="19"/>
    </row>
    <row r="673" spans="7:11" x14ac:dyDescent="0.3">
      <c r="G673" s="19"/>
      <c r="I673" s="29"/>
      <c r="J673" s="29"/>
      <c r="K673" s="19"/>
    </row>
    <row r="674" spans="7:11" x14ac:dyDescent="0.3">
      <c r="G674" s="19"/>
      <c r="I674" s="29"/>
      <c r="J674" s="29"/>
      <c r="K674" s="19"/>
    </row>
    <row r="675" spans="7:11" x14ac:dyDescent="0.3">
      <c r="G675" s="19"/>
      <c r="I675" s="29"/>
      <c r="J675" s="29"/>
      <c r="K675" s="19"/>
    </row>
    <row r="676" spans="7:11" x14ac:dyDescent="0.3">
      <c r="G676" s="19"/>
      <c r="I676" s="29"/>
      <c r="J676" s="29"/>
      <c r="K676" s="19"/>
    </row>
    <row r="677" spans="7:11" x14ac:dyDescent="0.3">
      <c r="G677" s="19"/>
      <c r="I677" s="29"/>
      <c r="J677" s="29"/>
      <c r="K677" s="19"/>
    </row>
    <row r="678" spans="7:11" x14ac:dyDescent="0.3">
      <c r="G678" s="19"/>
      <c r="I678" s="29"/>
      <c r="J678" s="29"/>
      <c r="K678" s="19"/>
    </row>
    <row r="679" spans="7:11" x14ac:dyDescent="0.3">
      <c r="G679" s="19"/>
      <c r="I679" s="29"/>
      <c r="J679" s="29"/>
      <c r="K679" s="19"/>
    </row>
    <row r="680" spans="7:11" x14ac:dyDescent="0.3">
      <c r="G680" s="19"/>
      <c r="I680" s="29"/>
      <c r="J680" s="29"/>
      <c r="K680" s="19"/>
    </row>
    <row r="681" spans="7:11" x14ac:dyDescent="0.3">
      <c r="G681" s="19"/>
      <c r="I681" s="29"/>
      <c r="J681" s="29"/>
      <c r="K681" s="19"/>
    </row>
    <row r="682" spans="7:11" x14ac:dyDescent="0.3">
      <c r="G682" s="19"/>
      <c r="I682" s="29"/>
      <c r="J682" s="29"/>
      <c r="K682" s="19"/>
    </row>
    <row r="683" spans="7:11" x14ac:dyDescent="0.3">
      <c r="G683" s="19"/>
      <c r="I683" s="29"/>
      <c r="J683" s="29"/>
      <c r="K683" s="19"/>
    </row>
    <row r="684" spans="7:11" x14ac:dyDescent="0.3">
      <c r="G684" s="19"/>
      <c r="I684" s="29"/>
      <c r="J684" s="29"/>
      <c r="K684" s="19"/>
    </row>
    <row r="685" spans="7:11" x14ac:dyDescent="0.3">
      <c r="G685" s="19"/>
      <c r="I685" s="29"/>
      <c r="J685" s="29"/>
      <c r="K685" s="19"/>
    </row>
    <row r="686" spans="7:11" x14ac:dyDescent="0.3">
      <c r="G686" s="19"/>
      <c r="I686" s="29"/>
      <c r="J686" s="29"/>
      <c r="K686" s="19"/>
    </row>
    <row r="687" spans="7:11" x14ac:dyDescent="0.3">
      <c r="G687" s="19"/>
      <c r="I687" s="29"/>
      <c r="J687" s="29"/>
      <c r="K687" s="19"/>
    </row>
    <row r="688" spans="7:11" x14ac:dyDescent="0.3">
      <c r="G688" s="19"/>
      <c r="I688" s="29"/>
      <c r="J688" s="29"/>
      <c r="K688" s="19"/>
    </row>
    <row r="689" spans="7:11" x14ac:dyDescent="0.3">
      <c r="G689" s="19"/>
      <c r="I689" s="29"/>
      <c r="J689" s="29"/>
      <c r="K689" s="19"/>
    </row>
    <row r="690" spans="7:11" x14ac:dyDescent="0.3">
      <c r="G690" s="19"/>
      <c r="I690" s="29"/>
      <c r="J690" s="29"/>
      <c r="K690" s="19"/>
    </row>
    <row r="691" spans="7:11" x14ac:dyDescent="0.3">
      <c r="G691" s="19"/>
      <c r="I691" s="29"/>
      <c r="J691" s="29"/>
      <c r="K691" s="19"/>
    </row>
    <row r="692" spans="7:11" x14ac:dyDescent="0.3">
      <c r="G692" s="19"/>
      <c r="I692" s="29"/>
      <c r="J692" s="29"/>
      <c r="K692" s="19"/>
    </row>
    <row r="693" spans="7:11" x14ac:dyDescent="0.3">
      <c r="G693" s="19"/>
      <c r="I693" s="29"/>
      <c r="J693" s="29"/>
      <c r="K693" s="19"/>
    </row>
    <row r="694" spans="7:11" x14ac:dyDescent="0.3">
      <c r="G694" s="19"/>
      <c r="I694" s="29"/>
      <c r="J694" s="29"/>
      <c r="K694" s="19"/>
    </row>
    <row r="695" spans="7:11" x14ac:dyDescent="0.3">
      <c r="G695" s="19"/>
      <c r="I695" s="29"/>
      <c r="J695" s="29"/>
      <c r="K695" s="19"/>
    </row>
    <row r="696" spans="7:11" x14ac:dyDescent="0.3">
      <c r="G696" s="19"/>
      <c r="I696" s="29"/>
      <c r="J696" s="29"/>
      <c r="K696" s="19"/>
    </row>
    <row r="697" spans="7:11" x14ac:dyDescent="0.3">
      <c r="G697" s="19"/>
      <c r="I697" s="29"/>
      <c r="J697" s="29"/>
      <c r="K697" s="19"/>
    </row>
    <row r="698" spans="7:11" x14ac:dyDescent="0.3">
      <c r="G698" s="19"/>
      <c r="I698" s="29"/>
      <c r="J698" s="29"/>
      <c r="K698" s="19"/>
    </row>
    <row r="699" spans="7:11" x14ac:dyDescent="0.3">
      <c r="G699" s="19"/>
      <c r="I699" s="29"/>
      <c r="J699" s="29"/>
      <c r="K699" s="19"/>
    </row>
    <row r="700" spans="7:11" x14ac:dyDescent="0.3">
      <c r="G700" s="19"/>
      <c r="I700" s="29"/>
      <c r="J700" s="29"/>
      <c r="K700" s="19"/>
    </row>
    <row r="701" spans="7:11" x14ac:dyDescent="0.3">
      <c r="G701" s="19"/>
      <c r="I701" s="29"/>
      <c r="J701" s="29"/>
      <c r="K701" s="19"/>
    </row>
    <row r="702" spans="7:11" x14ac:dyDescent="0.3">
      <c r="G702" s="19"/>
      <c r="I702" s="29"/>
      <c r="J702" s="29"/>
      <c r="K702" s="19"/>
    </row>
    <row r="703" spans="7:11" x14ac:dyDescent="0.3">
      <c r="G703" s="19"/>
      <c r="I703" s="29"/>
      <c r="J703" s="29"/>
      <c r="K703" s="19"/>
    </row>
    <row r="704" spans="7:11" x14ac:dyDescent="0.3">
      <c r="G704" s="19"/>
      <c r="I704" s="29"/>
      <c r="J704" s="29"/>
      <c r="K704" s="19"/>
    </row>
    <row r="705" spans="7:11" x14ac:dyDescent="0.3">
      <c r="G705" s="19"/>
      <c r="I705" s="29"/>
      <c r="J705" s="29"/>
      <c r="K705" s="19"/>
    </row>
    <row r="706" spans="7:11" x14ac:dyDescent="0.3">
      <c r="G706" s="19"/>
      <c r="I706" s="29"/>
      <c r="J706" s="29"/>
      <c r="K706" s="19"/>
    </row>
    <row r="707" spans="7:11" x14ac:dyDescent="0.3">
      <c r="G707" s="19"/>
      <c r="I707" s="29"/>
      <c r="J707" s="29"/>
      <c r="K707" s="19"/>
    </row>
    <row r="708" spans="7:11" x14ac:dyDescent="0.3">
      <c r="G708" s="19"/>
      <c r="I708" s="29"/>
      <c r="J708" s="29"/>
      <c r="K708" s="19"/>
    </row>
    <row r="709" spans="7:11" x14ac:dyDescent="0.3">
      <c r="G709" s="19"/>
      <c r="I709" s="29"/>
      <c r="J709" s="29"/>
      <c r="K709" s="19"/>
    </row>
    <row r="710" spans="7:11" x14ac:dyDescent="0.3">
      <c r="G710" s="19"/>
      <c r="I710" s="29"/>
      <c r="J710" s="29"/>
      <c r="K710" s="19"/>
    </row>
    <row r="711" spans="7:11" x14ac:dyDescent="0.3">
      <c r="G711" s="19"/>
      <c r="I711" s="29"/>
      <c r="J711" s="29"/>
      <c r="K711" s="19"/>
    </row>
    <row r="712" spans="7:11" x14ac:dyDescent="0.3">
      <c r="G712" s="19"/>
      <c r="I712" s="29"/>
      <c r="J712" s="29"/>
      <c r="K712" s="19"/>
    </row>
    <row r="713" spans="7:11" x14ac:dyDescent="0.3">
      <c r="G713" s="19"/>
      <c r="I713" s="29"/>
      <c r="J713" s="29"/>
      <c r="K713" s="19"/>
    </row>
    <row r="714" spans="7:11" x14ac:dyDescent="0.3">
      <c r="G714" s="19"/>
      <c r="I714" s="29"/>
      <c r="J714" s="29"/>
      <c r="K714" s="19"/>
    </row>
    <row r="715" spans="7:11" x14ac:dyDescent="0.3">
      <c r="G715" s="19"/>
      <c r="I715" s="29"/>
      <c r="J715" s="29"/>
      <c r="K715" s="19"/>
    </row>
    <row r="716" spans="7:11" x14ac:dyDescent="0.3">
      <c r="G716" s="19"/>
      <c r="I716" s="29"/>
      <c r="J716" s="29"/>
      <c r="K716" s="19"/>
    </row>
    <row r="717" spans="7:11" x14ac:dyDescent="0.3">
      <c r="G717" s="19"/>
      <c r="I717" s="29"/>
      <c r="J717" s="29"/>
      <c r="K717" s="19"/>
    </row>
    <row r="718" spans="7:11" x14ac:dyDescent="0.3">
      <c r="G718" s="19"/>
      <c r="I718" s="29"/>
      <c r="J718" s="29"/>
      <c r="K718" s="19"/>
    </row>
    <row r="719" spans="7:11" x14ac:dyDescent="0.3">
      <c r="G719" s="19"/>
      <c r="I719" s="29"/>
      <c r="J719" s="29"/>
      <c r="K719" s="19"/>
    </row>
    <row r="720" spans="7:11" x14ac:dyDescent="0.3">
      <c r="G720" s="19"/>
      <c r="I720" s="29"/>
      <c r="J720" s="29"/>
      <c r="K720" s="19"/>
    </row>
    <row r="721" spans="7:11" x14ac:dyDescent="0.3">
      <c r="G721" s="19"/>
      <c r="I721" s="29"/>
      <c r="J721" s="29"/>
      <c r="K721" s="19"/>
    </row>
    <row r="722" spans="7:11" x14ac:dyDescent="0.3">
      <c r="G722" s="19"/>
      <c r="I722" s="29"/>
      <c r="J722" s="29"/>
      <c r="K722" s="19"/>
    </row>
    <row r="723" spans="7:11" x14ac:dyDescent="0.3">
      <c r="G723" s="19"/>
      <c r="I723" s="29"/>
      <c r="J723" s="29"/>
      <c r="K723" s="19"/>
    </row>
    <row r="724" spans="7:11" x14ac:dyDescent="0.3">
      <c r="G724" s="19"/>
      <c r="I724" s="29"/>
      <c r="J724" s="29"/>
      <c r="K724" s="19"/>
    </row>
    <row r="725" spans="7:11" x14ac:dyDescent="0.3">
      <c r="G725" s="19"/>
      <c r="I725" s="29"/>
      <c r="J725" s="29"/>
      <c r="K725" s="19"/>
    </row>
    <row r="726" spans="7:11" x14ac:dyDescent="0.3">
      <c r="G726" s="19"/>
      <c r="I726" s="29"/>
      <c r="J726" s="29"/>
      <c r="K726" s="19"/>
    </row>
    <row r="727" spans="7:11" x14ac:dyDescent="0.3">
      <c r="G727" s="19"/>
      <c r="I727" s="29"/>
      <c r="J727" s="29"/>
      <c r="K727" s="19"/>
    </row>
    <row r="728" spans="7:11" x14ac:dyDescent="0.3">
      <c r="G728" s="19"/>
      <c r="I728" s="29"/>
      <c r="J728" s="29"/>
      <c r="K728" s="19"/>
    </row>
    <row r="729" spans="7:11" x14ac:dyDescent="0.3">
      <c r="G729" s="19"/>
      <c r="I729" s="29"/>
      <c r="J729" s="29"/>
      <c r="K729" s="19"/>
    </row>
    <row r="730" spans="7:11" x14ac:dyDescent="0.3">
      <c r="G730" s="19"/>
      <c r="I730" s="29"/>
      <c r="J730" s="29"/>
      <c r="K730" s="19"/>
    </row>
    <row r="731" spans="7:11" x14ac:dyDescent="0.3">
      <c r="G731" s="19"/>
      <c r="I731" s="29"/>
      <c r="J731" s="29"/>
      <c r="K731" s="19"/>
    </row>
    <row r="732" spans="7:11" x14ac:dyDescent="0.3">
      <c r="G732" s="19"/>
      <c r="I732" s="29"/>
      <c r="J732" s="29"/>
      <c r="K732" s="19"/>
    </row>
    <row r="733" spans="7:11" x14ac:dyDescent="0.3">
      <c r="G733" s="19"/>
      <c r="I733" s="29"/>
      <c r="J733" s="29"/>
      <c r="K733" s="19"/>
    </row>
    <row r="734" spans="7:11" x14ac:dyDescent="0.3">
      <c r="G734" s="19"/>
      <c r="I734" s="29"/>
      <c r="J734" s="29"/>
      <c r="K734" s="19"/>
    </row>
    <row r="735" spans="7:11" x14ac:dyDescent="0.3">
      <c r="G735" s="19"/>
      <c r="I735" s="29"/>
      <c r="J735" s="29"/>
      <c r="K735" s="19"/>
    </row>
    <row r="736" spans="7:11" x14ac:dyDescent="0.3">
      <c r="G736" s="19"/>
      <c r="I736" s="29"/>
      <c r="J736" s="29"/>
      <c r="K736" s="19"/>
    </row>
    <row r="737" spans="7:11" x14ac:dyDescent="0.3">
      <c r="G737" s="19"/>
      <c r="I737" s="29"/>
      <c r="J737" s="29"/>
      <c r="K737" s="19"/>
    </row>
    <row r="738" spans="7:11" x14ac:dyDescent="0.3">
      <c r="G738" s="19"/>
      <c r="I738" s="29"/>
      <c r="J738" s="29"/>
      <c r="K738" s="19"/>
    </row>
    <row r="739" spans="7:11" x14ac:dyDescent="0.3">
      <c r="G739" s="19"/>
      <c r="I739" s="29"/>
      <c r="J739" s="29"/>
      <c r="K739" s="19"/>
    </row>
    <row r="740" spans="7:11" x14ac:dyDescent="0.3">
      <c r="G740" s="19"/>
      <c r="I740" s="29"/>
      <c r="J740" s="29"/>
      <c r="K740" s="19"/>
    </row>
    <row r="741" spans="7:11" x14ac:dyDescent="0.3">
      <c r="G741" s="19"/>
      <c r="I741" s="29"/>
      <c r="J741" s="29"/>
      <c r="K741" s="19"/>
    </row>
    <row r="742" spans="7:11" x14ac:dyDescent="0.3">
      <c r="G742" s="19"/>
      <c r="I742" s="29"/>
      <c r="J742" s="29"/>
      <c r="K742" s="19"/>
    </row>
    <row r="743" spans="7:11" x14ac:dyDescent="0.3">
      <c r="G743" s="19"/>
      <c r="I743" s="29"/>
      <c r="J743" s="29"/>
      <c r="K743" s="19"/>
    </row>
    <row r="744" spans="7:11" x14ac:dyDescent="0.3">
      <c r="G744" s="19"/>
      <c r="I744" s="29"/>
      <c r="J744" s="29"/>
      <c r="K744" s="19"/>
    </row>
    <row r="745" spans="7:11" x14ac:dyDescent="0.3">
      <c r="G745" s="19"/>
      <c r="I745" s="29"/>
      <c r="J745" s="29"/>
      <c r="K745" s="19"/>
    </row>
    <row r="746" spans="7:11" x14ac:dyDescent="0.3">
      <c r="G746" s="19"/>
      <c r="I746" s="29"/>
      <c r="J746" s="29"/>
      <c r="K746" s="19"/>
    </row>
    <row r="747" spans="7:11" x14ac:dyDescent="0.3">
      <c r="G747" s="19"/>
      <c r="I747" s="29"/>
      <c r="J747" s="29"/>
      <c r="K747" s="19"/>
    </row>
    <row r="748" spans="7:11" x14ac:dyDescent="0.3">
      <c r="G748" s="19"/>
      <c r="I748" s="29"/>
      <c r="J748" s="29"/>
      <c r="K748" s="19"/>
    </row>
    <row r="749" spans="7:11" x14ac:dyDescent="0.3">
      <c r="G749" s="19"/>
      <c r="I749" s="29"/>
      <c r="J749" s="29"/>
      <c r="K749" s="19"/>
    </row>
    <row r="750" spans="7:11" x14ac:dyDescent="0.3">
      <c r="G750" s="19"/>
      <c r="I750" s="29"/>
      <c r="J750" s="29"/>
      <c r="K750" s="19"/>
    </row>
    <row r="751" spans="7:11" x14ac:dyDescent="0.3">
      <c r="G751" s="19"/>
      <c r="I751" s="29"/>
      <c r="J751" s="29"/>
      <c r="K751" s="19"/>
    </row>
    <row r="752" spans="7:11" x14ac:dyDescent="0.3">
      <c r="G752" s="19"/>
      <c r="I752" s="29"/>
      <c r="J752" s="29"/>
      <c r="K752" s="19"/>
    </row>
    <row r="753" spans="7:11" x14ac:dyDescent="0.3">
      <c r="G753" s="19"/>
      <c r="I753" s="29"/>
      <c r="J753" s="29"/>
      <c r="K753" s="19"/>
    </row>
    <row r="754" spans="7:11" x14ac:dyDescent="0.3">
      <c r="G754" s="19"/>
      <c r="I754" s="29"/>
      <c r="J754" s="29"/>
      <c r="K754" s="19"/>
    </row>
    <row r="755" spans="7:11" x14ac:dyDescent="0.3">
      <c r="G755" s="19"/>
      <c r="I755" s="29"/>
      <c r="J755" s="29"/>
      <c r="K755" s="19"/>
    </row>
    <row r="756" spans="7:11" x14ac:dyDescent="0.3">
      <c r="G756" s="19"/>
      <c r="I756" s="29"/>
      <c r="J756" s="29"/>
      <c r="K756" s="19"/>
    </row>
    <row r="757" spans="7:11" x14ac:dyDescent="0.3">
      <c r="G757" s="19"/>
      <c r="I757" s="29"/>
      <c r="J757" s="29"/>
      <c r="K757" s="19"/>
    </row>
    <row r="758" spans="7:11" x14ac:dyDescent="0.3">
      <c r="G758" s="19"/>
      <c r="I758" s="29"/>
      <c r="J758" s="29"/>
      <c r="K758" s="19"/>
    </row>
    <row r="759" spans="7:11" x14ac:dyDescent="0.3">
      <c r="G759" s="19"/>
      <c r="I759" s="29"/>
      <c r="J759" s="29"/>
      <c r="K759" s="19"/>
    </row>
    <row r="760" spans="7:11" x14ac:dyDescent="0.3">
      <c r="G760" s="19"/>
      <c r="I760" s="29"/>
      <c r="J760" s="29"/>
      <c r="K760" s="19"/>
    </row>
    <row r="761" spans="7:11" x14ac:dyDescent="0.3">
      <c r="G761" s="19"/>
      <c r="I761" s="29"/>
      <c r="J761" s="29"/>
      <c r="K761" s="19"/>
    </row>
    <row r="762" spans="7:11" x14ac:dyDescent="0.3">
      <c r="G762" s="19"/>
      <c r="I762" s="29"/>
      <c r="J762" s="29"/>
      <c r="K762" s="19"/>
    </row>
    <row r="763" spans="7:11" x14ac:dyDescent="0.3">
      <c r="G763" s="19"/>
      <c r="I763" s="29"/>
      <c r="J763" s="29"/>
      <c r="K763" s="19"/>
    </row>
    <row r="764" spans="7:11" x14ac:dyDescent="0.3">
      <c r="G764" s="19"/>
      <c r="I764" s="29"/>
      <c r="J764" s="29"/>
      <c r="K764" s="19"/>
    </row>
    <row r="765" spans="7:11" x14ac:dyDescent="0.3">
      <c r="G765" s="19"/>
      <c r="I765" s="29"/>
      <c r="J765" s="29"/>
      <c r="K765" s="19"/>
    </row>
    <row r="766" spans="7:11" x14ac:dyDescent="0.3">
      <c r="G766" s="19"/>
      <c r="I766" s="29"/>
      <c r="J766" s="29"/>
      <c r="K766" s="19"/>
    </row>
    <row r="767" spans="7:11" x14ac:dyDescent="0.3">
      <c r="G767" s="19"/>
      <c r="I767" s="29"/>
      <c r="J767" s="29"/>
      <c r="K767" s="19"/>
    </row>
    <row r="768" spans="7:11" x14ac:dyDescent="0.3">
      <c r="G768" s="19"/>
      <c r="I768" s="29"/>
      <c r="J768" s="29"/>
      <c r="K768" s="19"/>
    </row>
    <row r="769" spans="7:11" x14ac:dyDescent="0.3">
      <c r="G769" s="19"/>
      <c r="I769" s="29"/>
      <c r="J769" s="29"/>
      <c r="K769" s="19"/>
    </row>
    <row r="770" spans="7:11" x14ac:dyDescent="0.3">
      <c r="G770" s="19"/>
      <c r="I770" s="29"/>
      <c r="J770" s="29"/>
      <c r="K770" s="19"/>
    </row>
    <row r="771" spans="7:11" x14ac:dyDescent="0.3">
      <c r="G771" s="19"/>
      <c r="I771" s="29"/>
      <c r="J771" s="29"/>
      <c r="K771" s="19"/>
    </row>
    <row r="772" spans="7:11" x14ac:dyDescent="0.3">
      <c r="G772" s="19"/>
      <c r="I772" s="29"/>
      <c r="J772" s="29"/>
      <c r="K772" s="19"/>
    </row>
    <row r="773" spans="7:11" x14ac:dyDescent="0.3">
      <c r="G773" s="19"/>
      <c r="I773" s="29"/>
      <c r="J773" s="29"/>
      <c r="K773" s="19"/>
    </row>
    <row r="774" spans="7:11" x14ac:dyDescent="0.3">
      <c r="G774" s="19"/>
      <c r="I774" s="29"/>
      <c r="J774" s="29"/>
      <c r="K774" s="19"/>
    </row>
    <row r="775" spans="7:11" x14ac:dyDescent="0.3">
      <c r="G775" s="19"/>
      <c r="I775" s="29"/>
      <c r="J775" s="29"/>
      <c r="K775" s="19"/>
    </row>
    <row r="776" spans="7:11" x14ac:dyDescent="0.3">
      <c r="G776" s="19"/>
      <c r="I776" s="29"/>
      <c r="J776" s="29"/>
      <c r="K776" s="19"/>
    </row>
    <row r="777" spans="7:11" x14ac:dyDescent="0.3">
      <c r="G777" s="19"/>
      <c r="I777" s="29"/>
      <c r="J777" s="29"/>
      <c r="K777" s="19"/>
    </row>
    <row r="778" spans="7:11" x14ac:dyDescent="0.3">
      <c r="G778" s="19"/>
      <c r="I778" s="29"/>
      <c r="J778" s="29"/>
      <c r="K778" s="19"/>
    </row>
    <row r="779" spans="7:11" x14ac:dyDescent="0.3">
      <c r="G779" s="19"/>
      <c r="I779" s="29"/>
      <c r="J779" s="29"/>
      <c r="K779" s="19"/>
    </row>
    <row r="780" spans="7:11" x14ac:dyDescent="0.3">
      <c r="G780" s="19"/>
      <c r="I780" s="29"/>
      <c r="J780" s="29"/>
      <c r="K780" s="19"/>
    </row>
    <row r="781" spans="7:11" x14ac:dyDescent="0.3">
      <c r="G781" s="19"/>
      <c r="I781" s="29"/>
      <c r="J781" s="29"/>
      <c r="K781" s="19"/>
    </row>
    <row r="782" spans="7:11" x14ac:dyDescent="0.3">
      <c r="G782" s="19"/>
      <c r="I782" s="29"/>
      <c r="J782" s="29"/>
      <c r="K782" s="19"/>
    </row>
    <row r="783" spans="7:11" x14ac:dyDescent="0.3">
      <c r="G783" s="19"/>
      <c r="I783" s="29"/>
      <c r="J783" s="29"/>
      <c r="K783" s="19"/>
    </row>
    <row r="784" spans="7:11" x14ac:dyDescent="0.3">
      <c r="G784" s="19"/>
      <c r="I784" s="29"/>
      <c r="J784" s="29"/>
      <c r="K784" s="19"/>
    </row>
    <row r="785" spans="7:11" x14ac:dyDescent="0.3">
      <c r="G785" s="19"/>
      <c r="I785" s="29"/>
      <c r="J785" s="29"/>
      <c r="K785" s="19"/>
    </row>
    <row r="786" spans="7:11" x14ac:dyDescent="0.3">
      <c r="G786" s="19"/>
      <c r="I786" s="29"/>
      <c r="J786" s="29"/>
      <c r="K786" s="19"/>
    </row>
    <row r="787" spans="7:11" x14ac:dyDescent="0.3">
      <c r="G787" s="19"/>
      <c r="I787" s="29"/>
      <c r="J787" s="29"/>
      <c r="K787" s="19"/>
    </row>
    <row r="788" spans="7:11" x14ac:dyDescent="0.3">
      <c r="G788" s="19"/>
      <c r="I788" s="29"/>
      <c r="J788" s="29"/>
      <c r="K788" s="19"/>
    </row>
    <row r="789" spans="7:11" x14ac:dyDescent="0.3">
      <c r="G789" s="19"/>
      <c r="I789" s="29"/>
      <c r="J789" s="29"/>
      <c r="K789" s="19"/>
    </row>
    <row r="790" spans="7:11" x14ac:dyDescent="0.3">
      <c r="G790" s="19"/>
      <c r="I790" s="29"/>
      <c r="J790" s="29"/>
      <c r="K790" s="19"/>
    </row>
    <row r="791" spans="7:11" x14ac:dyDescent="0.3">
      <c r="G791" s="19"/>
      <c r="I791" s="29"/>
      <c r="J791" s="29"/>
      <c r="K791" s="19"/>
    </row>
    <row r="792" spans="7:11" x14ac:dyDescent="0.3">
      <c r="G792" s="19"/>
      <c r="I792" s="29"/>
      <c r="J792" s="29"/>
      <c r="K792" s="19"/>
    </row>
    <row r="793" spans="7:11" x14ac:dyDescent="0.3">
      <c r="G793" s="19"/>
      <c r="I793" s="29"/>
      <c r="J793" s="29"/>
      <c r="K793" s="19"/>
    </row>
    <row r="794" spans="7:11" x14ac:dyDescent="0.3">
      <c r="G794" s="19"/>
      <c r="I794" s="29"/>
      <c r="J794" s="29"/>
      <c r="K794" s="19"/>
    </row>
    <row r="795" spans="7:11" x14ac:dyDescent="0.3">
      <c r="G795" s="19"/>
      <c r="I795" s="29"/>
      <c r="J795" s="29"/>
      <c r="K795" s="19"/>
    </row>
    <row r="796" spans="7:11" x14ac:dyDescent="0.3">
      <c r="G796" s="19"/>
      <c r="I796" s="29"/>
      <c r="J796" s="29"/>
      <c r="K796" s="19"/>
    </row>
    <row r="797" spans="7:11" x14ac:dyDescent="0.3">
      <c r="G797" s="19"/>
      <c r="I797" s="29"/>
      <c r="J797" s="29"/>
      <c r="K797" s="19"/>
    </row>
    <row r="798" spans="7:11" x14ac:dyDescent="0.3">
      <c r="G798" s="19"/>
      <c r="I798" s="29"/>
      <c r="J798" s="29"/>
      <c r="K798" s="19"/>
    </row>
    <row r="799" spans="7:11" x14ac:dyDescent="0.3">
      <c r="G799" s="19"/>
      <c r="I799" s="29"/>
      <c r="J799" s="29"/>
      <c r="K799" s="19"/>
    </row>
    <row r="800" spans="7:11" x14ac:dyDescent="0.3">
      <c r="G800" s="19"/>
      <c r="I800" s="29"/>
      <c r="J800" s="29"/>
      <c r="K800" s="19"/>
    </row>
    <row r="801" spans="7:11" x14ac:dyDescent="0.3">
      <c r="G801" s="19"/>
      <c r="I801" s="29"/>
      <c r="J801" s="29"/>
      <c r="K801" s="19"/>
    </row>
    <row r="802" spans="7:11" x14ac:dyDescent="0.3">
      <c r="G802" s="19"/>
      <c r="I802" s="29"/>
      <c r="J802" s="29"/>
      <c r="K802" s="19"/>
    </row>
    <row r="803" spans="7:11" x14ac:dyDescent="0.3">
      <c r="G803" s="19"/>
      <c r="I803" s="29"/>
      <c r="J803" s="29"/>
      <c r="K803" s="19"/>
    </row>
    <row r="804" spans="7:11" x14ac:dyDescent="0.3">
      <c r="G804" s="19"/>
      <c r="I804" s="29"/>
      <c r="J804" s="29"/>
      <c r="K804" s="19"/>
    </row>
    <row r="805" spans="7:11" x14ac:dyDescent="0.3">
      <c r="G805" s="19"/>
      <c r="I805" s="29"/>
      <c r="J805" s="29"/>
      <c r="K805" s="19"/>
    </row>
    <row r="806" spans="7:11" x14ac:dyDescent="0.3">
      <c r="G806" s="19"/>
      <c r="I806" s="29"/>
      <c r="J806" s="29"/>
      <c r="K806" s="19"/>
    </row>
    <row r="807" spans="7:11" x14ac:dyDescent="0.3">
      <c r="G807" s="19"/>
      <c r="I807" s="29"/>
      <c r="J807" s="29"/>
      <c r="K807" s="19"/>
    </row>
    <row r="808" spans="7:11" x14ac:dyDescent="0.3">
      <c r="G808" s="19"/>
      <c r="I808" s="29"/>
      <c r="J808" s="29"/>
      <c r="K808" s="19"/>
    </row>
    <row r="809" spans="7:11" x14ac:dyDescent="0.3">
      <c r="G809" s="19"/>
      <c r="I809" s="29"/>
      <c r="J809" s="29"/>
      <c r="K809" s="19"/>
    </row>
    <row r="810" spans="7:11" x14ac:dyDescent="0.3">
      <c r="G810" s="19"/>
      <c r="I810" s="29"/>
      <c r="J810" s="29"/>
      <c r="K810" s="19"/>
    </row>
    <row r="811" spans="7:11" x14ac:dyDescent="0.3">
      <c r="G811" s="19"/>
      <c r="I811" s="29"/>
      <c r="J811" s="29"/>
      <c r="K811" s="19"/>
    </row>
    <row r="812" spans="7:11" x14ac:dyDescent="0.3">
      <c r="G812" s="19"/>
      <c r="I812" s="29"/>
      <c r="J812" s="29"/>
      <c r="K812" s="19"/>
    </row>
    <row r="813" spans="7:11" x14ac:dyDescent="0.3">
      <c r="G813" s="19"/>
      <c r="I813" s="29"/>
      <c r="J813" s="29"/>
      <c r="K813" s="19"/>
    </row>
    <row r="814" spans="7:11" x14ac:dyDescent="0.3">
      <c r="G814" s="19"/>
      <c r="I814" s="29"/>
      <c r="J814" s="29"/>
      <c r="K814" s="19"/>
    </row>
    <row r="815" spans="7:11" x14ac:dyDescent="0.3">
      <c r="G815" s="19"/>
      <c r="I815" s="29"/>
      <c r="J815" s="29"/>
      <c r="K815" s="19"/>
    </row>
    <row r="816" spans="7:11" x14ac:dyDescent="0.3">
      <c r="G816" s="19"/>
      <c r="I816" s="29"/>
      <c r="J816" s="29"/>
      <c r="K816" s="19"/>
    </row>
    <row r="817" spans="7:11" x14ac:dyDescent="0.3">
      <c r="G817" s="19"/>
      <c r="I817" s="29"/>
      <c r="J817" s="29"/>
      <c r="K817" s="19"/>
    </row>
    <row r="818" spans="7:11" x14ac:dyDescent="0.3">
      <c r="G818" s="19"/>
      <c r="I818" s="29"/>
      <c r="J818" s="29"/>
      <c r="K818" s="19"/>
    </row>
    <row r="819" spans="7:11" x14ac:dyDescent="0.3">
      <c r="G819" s="19"/>
      <c r="I819" s="29"/>
      <c r="J819" s="29"/>
      <c r="K819" s="19"/>
    </row>
    <row r="820" spans="7:11" x14ac:dyDescent="0.3">
      <c r="G820" s="19"/>
      <c r="I820" s="29"/>
      <c r="J820" s="29"/>
      <c r="K820" s="19"/>
    </row>
    <row r="821" spans="7:11" x14ac:dyDescent="0.3">
      <c r="G821" s="19"/>
      <c r="I821" s="29"/>
      <c r="J821" s="29"/>
      <c r="K821" s="19"/>
    </row>
    <row r="822" spans="7:11" x14ac:dyDescent="0.3">
      <c r="G822" s="19"/>
      <c r="I822" s="29"/>
      <c r="J822" s="29"/>
      <c r="K822" s="19"/>
    </row>
    <row r="823" spans="7:11" x14ac:dyDescent="0.3">
      <c r="G823" s="19"/>
      <c r="I823" s="29"/>
      <c r="J823" s="29"/>
      <c r="K823" s="19"/>
    </row>
    <row r="824" spans="7:11" x14ac:dyDescent="0.3">
      <c r="G824" s="19"/>
      <c r="I824" s="29"/>
      <c r="J824" s="29"/>
      <c r="K824" s="19"/>
    </row>
    <row r="825" spans="7:11" x14ac:dyDescent="0.3">
      <c r="G825" s="19"/>
      <c r="I825" s="29"/>
      <c r="J825" s="29"/>
      <c r="K825" s="19"/>
    </row>
    <row r="826" spans="7:11" x14ac:dyDescent="0.3">
      <c r="G826" s="19"/>
      <c r="I826" s="29"/>
      <c r="J826" s="29"/>
      <c r="K826" s="19"/>
    </row>
    <row r="827" spans="7:11" x14ac:dyDescent="0.3">
      <c r="G827" s="19"/>
      <c r="I827" s="29"/>
      <c r="J827" s="29"/>
      <c r="K827" s="19"/>
    </row>
    <row r="828" spans="7:11" x14ac:dyDescent="0.3">
      <c r="G828" s="19"/>
      <c r="I828" s="29"/>
      <c r="J828" s="29"/>
      <c r="K828" s="19"/>
    </row>
    <row r="829" spans="7:11" x14ac:dyDescent="0.3">
      <c r="G829" s="19"/>
      <c r="I829" s="29"/>
      <c r="J829" s="29"/>
      <c r="K829" s="19"/>
    </row>
    <row r="830" spans="7:11" x14ac:dyDescent="0.3">
      <c r="G830" s="19"/>
      <c r="I830" s="29"/>
      <c r="J830" s="29"/>
      <c r="K830" s="19"/>
    </row>
    <row r="831" spans="7:11" x14ac:dyDescent="0.3">
      <c r="G831" s="19"/>
      <c r="I831" s="29"/>
      <c r="J831" s="29"/>
      <c r="K831" s="19"/>
    </row>
    <row r="832" spans="7:11" x14ac:dyDescent="0.3">
      <c r="G832" s="19"/>
      <c r="I832" s="29"/>
      <c r="J832" s="29"/>
      <c r="K832" s="19"/>
    </row>
    <row r="833" spans="7:11" x14ac:dyDescent="0.3">
      <c r="G833" s="19"/>
      <c r="I833" s="29"/>
      <c r="J833" s="29"/>
      <c r="K833" s="19"/>
    </row>
    <row r="834" spans="7:11" x14ac:dyDescent="0.3">
      <c r="G834" s="19"/>
      <c r="I834" s="29"/>
      <c r="J834" s="29"/>
      <c r="K834" s="19"/>
    </row>
    <row r="835" spans="7:11" x14ac:dyDescent="0.3">
      <c r="G835" s="19"/>
      <c r="I835" s="29"/>
      <c r="J835" s="29"/>
      <c r="K835" s="19"/>
    </row>
    <row r="836" spans="7:11" x14ac:dyDescent="0.3">
      <c r="G836" s="19"/>
      <c r="I836" s="29"/>
      <c r="J836" s="29"/>
      <c r="K836" s="19"/>
    </row>
    <row r="837" spans="7:11" x14ac:dyDescent="0.3">
      <c r="G837" s="19"/>
      <c r="I837" s="29"/>
      <c r="J837" s="29"/>
      <c r="K837" s="19"/>
    </row>
    <row r="838" spans="7:11" x14ac:dyDescent="0.3">
      <c r="G838" s="19"/>
      <c r="I838" s="29"/>
      <c r="J838" s="29"/>
      <c r="K838" s="19"/>
    </row>
    <row r="839" spans="7:11" x14ac:dyDescent="0.3">
      <c r="G839" s="19"/>
      <c r="I839" s="29"/>
      <c r="J839" s="29"/>
      <c r="K839" s="19"/>
    </row>
    <row r="840" spans="7:11" x14ac:dyDescent="0.3">
      <c r="G840" s="19"/>
      <c r="I840" s="29"/>
      <c r="J840" s="29"/>
      <c r="K840" s="19"/>
    </row>
    <row r="841" spans="7:11" x14ac:dyDescent="0.3">
      <c r="G841" s="19"/>
      <c r="I841" s="29"/>
      <c r="J841" s="29"/>
      <c r="K841" s="19"/>
    </row>
    <row r="842" spans="7:11" x14ac:dyDescent="0.3">
      <c r="G842" s="19"/>
      <c r="I842" s="29"/>
      <c r="J842" s="29"/>
      <c r="K842" s="19"/>
    </row>
    <row r="843" spans="7:11" x14ac:dyDescent="0.3">
      <c r="G843" s="19"/>
      <c r="I843" s="29"/>
      <c r="J843" s="29"/>
      <c r="K843" s="19"/>
    </row>
    <row r="844" spans="7:11" x14ac:dyDescent="0.3">
      <c r="G844" s="19"/>
      <c r="I844" s="29"/>
      <c r="J844" s="29"/>
      <c r="K844" s="19"/>
    </row>
    <row r="845" spans="7:11" x14ac:dyDescent="0.3">
      <c r="G845" s="19"/>
      <c r="I845" s="29"/>
      <c r="J845" s="29"/>
      <c r="K845" s="19"/>
    </row>
    <row r="846" spans="7:11" x14ac:dyDescent="0.3">
      <c r="G846" s="19"/>
      <c r="I846" s="29"/>
      <c r="J846" s="29"/>
      <c r="K846" s="19"/>
    </row>
    <row r="847" spans="7:11" x14ac:dyDescent="0.3">
      <c r="G847" s="19"/>
      <c r="I847" s="29"/>
      <c r="J847" s="29"/>
      <c r="K847" s="19"/>
    </row>
    <row r="848" spans="7:11" x14ac:dyDescent="0.3">
      <c r="G848" s="19"/>
      <c r="I848" s="29"/>
      <c r="J848" s="29"/>
      <c r="K848" s="19"/>
    </row>
    <row r="849" spans="7:11" x14ac:dyDescent="0.3">
      <c r="G849" s="19"/>
      <c r="I849" s="29"/>
      <c r="J849" s="29"/>
      <c r="K849" s="19"/>
    </row>
    <row r="850" spans="7:11" x14ac:dyDescent="0.3">
      <c r="G850" s="19"/>
      <c r="I850" s="29"/>
      <c r="J850" s="29"/>
      <c r="K850" s="19"/>
    </row>
    <row r="851" spans="7:11" x14ac:dyDescent="0.3">
      <c r="G851" s="19"/>
      <c r="I851" s="29"/>
      <c r="J851" s="29"/>
      <c r="K851" s="19"/>
    </row>
    <row r="852" spans="7:11" x14ac:dyDescent="0.3">
      <c r="G852" s="19"/>
      <c r="I852" s="29"/>
      <c r="J852" s="29"/>
      <c r="K852" s="19"/>
    </row>
    <row r="853" spans="7:11" x14ac:dyDescent="0.3">
      <c r="G853" s="19"/>
      <c r="I853" s="29"/>
      <c r="J853" s="29"/>
      <c r="K853" s="19"/>
    </row>
    <row r="854" spans="7:11" x14ac:dyDescent="0.3">
      <c r="G854" s="19"/>
      <c r="I854" s="29"/>
      <c r="J854" s="29"/>
      <c r="K854" s="19"/>
    </row>
    <row r="855" spans="7:11" x14ac:dyDescent="0.3">
      <c r="G855" s="19"/>
      <c r="I855" s="29"/>
      <c r="J855" s="29"/>
      <c r="K855" s="19"/>
    </row>
    <row r="856" spans="7:11" x14ac:dyDescent="0.3">
      <c r="G856" s="19"/>
      <c r="I856" s="29"/>
      <c r="J856" s="29"/>
      <c r="K856" s="19"/>
    </row>
    <row r="857" spans="7:11" x14ac:dyDescent="0.3">
      <c r="G857" s="19"/>
      <c r="I857" s="29"/>
      <c r="J857" s="29"/>
      <c r="K857" s="19"/>
    </row>
    <row r="858" spans="7:11" x14ac:dyDescent="0.3">
      <c r="G858" s="19"/>
      <c r="I858" s="29"/>
      <c r="J858" s="29"/>
      <c r="K858" s="19"/>
    </row>
    <row r="859" spans="7:11" x14ac:dyDescent="0.3">
      <c r="G859" s="19"/>
      <c r="I859" s="29"/>
      <c r="J859" s="29"/>
      <c r="K859" s="19"/>
    </row>
    <row r="860" spans="7:11" x14ac:dyDescent="0.3">
      <c r="G860" s="19"/>
      <c r="I860" s="29"/>
      <c r="J860" s="29"/>
      <c r="K860" s="19"/>
    </row>
    <row r="861" spans="7:11" x14ac:dyDescent="0.3">
      <c r="G861" s="19"/>
      <c r="I861" s="29"/>
      <c r="J861" s="29"/>
      <c r="K861" s="19"/>
    </row>
    <row r="862" spans="7:11" x14ac:dyDescent="0.3">
      <c r="G862" s="19"/>
      <c r="I862" s="29"/>
      <c r="J862" s="29"/>
      <c r="K862" s="19"/>
    </row>
    <row r="863" spans="7:11" x14ac:dyDescent="0.3">
      <c r="G863" s="19"/>
      <c r="I863" s="29"/>
      <c r="J863" s="29"/>
      <c r="K863" s="19"/>
    </row>
    <row r="864" spans="7:11" x14ac:dyDescent="0.3">
      <c r="G864" s="19"/>
      <c r="I864" s="29"/>
      <c r="J864" s="29"/>
      <c r="K864" s="19"/>
    </row>
    <row r="865" spans="7:11" x14ac:dyDescent="0.3">
      <c r="G865" s="19"/>
      <c r="I865" s="29"/>
      <c r="J865" s="29"/>
      <c r="K865" s="19"/>
    </row>
    <row r="866" spans="7:11" x14ac:dyDescent="0.3">
      <c r="G866" s="19"/>
      <c r="I866" s="29"/>
      <c r="J866" s="29"/>
      <c r="K866" s="19"/>
    </row>
    <row r="867" spans="7:11" x14ac:dyDescent="0.3">
      <c r="G867" s="19"/>
      <c r="I867" s="29"/>
      <c r="J867" s="29"/>
      <c r="K867" s="19"/>
    </row>
    <row r="868" spans="7:11" x14ac:dyDescent="0.3">
      <c r="G868" s="19"/>
      <c r="I868" s="29"/>
      <c r="J868" s="29"/>
      <c r="K868" s="19"/>
    </row>
    <row r="869" spans="7:11" x14ac:dyDescent="0.3">
      <c r="G869" s="19"/>
      <c r="I869" s="29"/>
      <c r="J869" s="29"/>
      <c r="K869" s="19"/>
    </row>
    <row r="870" spans="7:11" x14ac:dyDescent="0.3">
      <c r="G870" s="19"/>
      <c r="I870" s="29"/>
      <c r="J870" s="29"/>
      <c r="K870" s="19"/>
    </row>
    <row r="871" spans="7:11" x14ac:dyDescent="0.3">
      <c r="G871" s="19"/>
      <c r="I871" s="29"/>
      <c r="J871" s="29"/>
      <c r="K871" s="19"/>
    </row>
    <row r="872" spans="7:11" x14ac:dyDescent="0.3">
      <c r="G872" s="19"/>
      <c r="I872" s="29"/>
      <c r="J872" s="29"/>
      <c r="K872" s="19"/>
    </row>
    <row r="873" spans="7:11" x14ac:dyDescent="0.3">
      <c r="G873" s="19"/>
      <c r="I873" s="29"/>
      <c r="J873" s="29"/>
      <c r="K873" s="19"/>
    </row>
    <row r="874" spans="7:11" x14ac:dyDescent="0.3">
      <c r="G874" s="19"/>
      <c r="I874" s="29"/>
      <c r="J874" s="29"/>
      <c r="K874" s="19"/>
    </row>
    <row r="875" spans="7:11" x14ac:dyDescent="0.3">
      <c r="G875" s="19"/>
      <c r="I875" s="29"/>
      <c r="J875" s="29"/>
      <c r="K875" s="19"/>
    </row>
    <row r="876" spans="7:11" x14ac:dyDescent="0.3">
      <c r="G876" s="19"/>
      <c r="I876" s="29"/>
      <c r="J876" s="29"/>
      <c r="K876" s="19"/>
    </row>
    <row r="877" spans="7:11" x14ac:dyDescent="0.3">
      <c r="G877" s="19"/>
      <c r="I877" s="29"/>
      <c r="J877" s="29"/>
      <c r="K877" s="19"/>
    </row>
    <row r="878" spans="7:11" x14ac:dyDescent="0.3">
      <c r="G878" s="19"/>
      <c r="I878" s="29"/>
      <c r="J878" s="29"/>
      <c r="K878" s="19"/>
    </row>
    <row r="879" spans="7:11" x14ac:dyDescent="0.3">
      <c r="G879" s="19"/>
      <c r="I879" s="29"/>
      <c r="J879" s="29"/>
      <c r="K879" s="19"/>
    </row>
    <row r="880" spans="7:11" x14ac:dyDescent="0.3">
      <c r="G880" s="19"/>
      <c r="I880" s="29"/>
      <c r="J880" s="29"/>
      <c r="K880" s="19"/>
    </row>
    <row r="881" spans="7:11" x14ac:dyDescent="0.3">
      <c r="G881" s="19"/>
      <c r="I881" s="29"/>
      <c r="J881" s="29"/>
      <c r="K881" s="19"/>
    </row>
    <row r="882" spans="7:11" x14ac:dyDescent="0.3">
      <c r="G882" s="19"/>
      <c r="I882" s="29"/>
      <c r="J882" s="29"/>
      <c r="K882" s="19"/>
    </row>
    <row r="883" spans="7:11" x14ac:dyDescent="0.3">
      <c r="G883" s="19"/>
      <c r="I883" s="29"/>
      <c r="J883" s="29"/>
      <c r="K883" s="19"/>
    </row>
    <row r="884" spans="7:11" x14ac:dyDescent="0.3">
      <c r="G884" s="19"/>
      <c r="I884" s="29"/>
      <c r="J884" s="29"/>
      <c r="K884" s="19"/>
    </row>
    <row r="885" spans="7:11" x14ac:dyDescent="0.3">
      <c r="G885" s="19"/>
      <c r="I885" s="29"/>
      <c r="J885" s="29"/>
      <c r="K885" s="19"/>
    </row>
    <row r="886" spans="7:11" x14ac:dyDescent="0.3">
      <c r="G886" s="19"/>
      <c r="I886" s="29"/>
      <c r="J886" s="29"/>
      <c r="K886" s="19"/>
    </row>
    <row r="887" spans="7:11" x14ac:dyDescent="0.3">
      <c r="G887" s="19"/>
      <c r="I887" s="29"/>
      <c r="J887" s="29"/>
      <c r="K887" s="19"/>
    </row>
    <row r="888" spans="7:11" x14ac:dyDescent="0.3">
      <c r="G888" s="19"/>
      <c r="I888" s="29"/>
      <c r="J888" s="29"/>
      <c r="K888" s="19"/>
    </row>
    <row r="889" spans="7:11" x14ac:dyDescent="0.3">
      <c r="G889" s="19"/>
      <c r="I889" s="29"/>
      <c r="J889" s="29"/>
      <c r="K889" s="19"/>
    </row>
    <row r="890" spans="7:11" x14ac:dyDescent="0.3">
      <c r="G890" s="19"/>
      <c r="I890" s="29"/>
      <c r="J890" s="29"/>
      <c r="K890" s="19"/>
    </row>
    <row r="891" spans="7:11" x14ac:dyDescent="0.3">
      <c r="G891" s="19"/>
      <c r="I891" s="29"/>
      <c r="J891" s="29"/>
      <c r="K891" s="19"/>
    </row>
    <row r="892" spans="7:11" x14ac:dyDescent="0.3">
      <c r="G892" s="19"/>
      <c r="I892" s="29"/>
      <c r="J892" s="29"/>
      <c r="K892" s="19"/>
    </row>
    <row r="893" spans="7:11" x14ac:dyDescent="0.3">
      <c r="G893" s="19"/>
      <c r="I893" s="29"/>
      <c r="J893" s="29"/>
      <c r="K893" s="19"/>
    </row>
    <row r="894" spans="7:11" x14ac:dyDescent="0.3">
      <c r="G894" s="19"/>
      <c r="I894" s="29"/>
      <c r="J894" s="29"/>
      <c r="K894" s="19"/>
    </row>
    <row r="895" spans="7:11" x14ac:dyDescent="0.3">
      <c r="G895" s="19"/>
      <c r="I895" s="29"/>
      <c r="J895" s="29"/>
      <c r="K895" s="19"/>
    </row>
    <row r="896" spans="7:11" x14ac:dyDescent="0.3">
      <c r="G896" s="19"/>
      <c r="I896" s="29"/>
      <c r="J896" s="29"/>
      <c r="K896" s="19"/>
    </row>
    <row r="897" spans="7:11" x14ac:dyDescent="0.3">
      <c r="G897" s="19"/>
      <c r="I897" s="29"/>
      <c r="J897" s="29"/>
      <c r="K897" s="19"/>
    </row>
    <row r="898" spans="7:11" x14ac:dyDescent="0.3">
      <c r="G898" s="19"/>
      <c r="I898" s="29"/>
      <c r="J898" s="29"/>
      <c r="K898" s="19"/>
    </row>
    <row r="899" spans="7:11" x14ac:dyDescent="0.3">
      <c r="G899" s="19"/>
      <c r="I899" s="29"/>
      <c r="J899" s="29"/>
      <c r="K899" s="19"/>
    </row>
    <row r="900" spans="7:11" x14ac:dyDescent="0.3">
      <c r="G900" s="19"/>
      <c r="I900" s="29"/>
      <c r="J900" s="29"/>
      <c r="K900" s="19"/>
    </row>
    <row r="901" spans="7:11" x14ac:dyDescent="0.3">
      <c r="G901" s="19"/>
      <c r="I901" s="29"/>
      <c r="J901" s="29"/>
      <c r="K901" s="19"/>
    </row>
    <row r="902" spans="7:11" x14ac:dyDescent="0.3">
      <c r="G902" s="19"/>
      <c r="I902" s="29"/>
      <c r="J902" s="29"/>
      <c r="K902" s="19"/>
    </row>
    <row r="903" spans="7:11" x14ac:dyDescent="0.3">
      <c r="G903" s="19"/>
      <c r="I903" s="29"/>
      <c r="J903" s="29"/>
      <c r="K903" s="19"/>
    </row>
    <row r="904" spans="7:11" x14ac:dyDescent="0.3">
      <c r="G904" s="19"/>
      <c r="I904" s="29"/>
      <c r="J904" s="29"/>
      <c r="K904" s="19"/>
    </row>
    <row r="905" spans="7:11" x14ac:dyDescent="0.3">
      <c r="G905" s="19"/>
      <c r="I905" s="29"/>
      <c r="J905" s="29"/>
      <c r="K905" s="19"/>
    </row>
    <row r="906" spans="7:11" x14ac:dyDescent="0.3">
      <c r="G906" s="19"/>
      <c r="I906" s="29"/>
      <c r="J906" s="29"/>
      <c r="K906" s="19"/>
    </row>
    <row r="907" spans="7:11" x14ac:dyDescent="0.3">
      <c r="G907" s="19"/>
      <c r="I907" s="29"/>
      <c r="J907" s="29"/>
      <c r="K907" s="19"/>
    </row>
    <row r="908" spans="7:11" x14ac:dyDescent="0.3">
      <c r="G908" s="19"/>
      <c r="I908" s="29"/>
      <c r="J908" s="29"/>
      <c r="K908" s="19"/>
    </row>
    <row r="909" spans="7:11" x14ac:dyDescent="0.3">
      <c r="G909" s="19"/>
      <c r="I909" s="29"/>
      <c r="J909" s="29"/>
      <c r="K909" s="19"/>
    </row>
    <row r="910" spans="7:11" x14ac:dyDescent="0.3">
      <c r="G910" s="19"/>
      <c r="I910" s="29"/>
      <c r="J910" s="29"/>
      <c r="K910" s="19"/>
    </row>
    <row r="911" spans="7:11" x14ac:dyDescent="0.3">
      <c r="G911" s="19"/>
      <c r="I911" s="29"/>
      <c r="J911" s="29"/>
      <c r="K911" s="19"/>
    </row>
    <row r="912" spans="7:11" x14ac:dyDescent="0.3">
      <c r="G912" s="19"/>
      <c r="I912" s="29"/>
      <c r="J912" s="29"/>
      <c r="K912" s="19"/>
    </row>
    <row r="913" spans="7:11" x14ac:dyDescent="0.3">
      <c r="G913" s="19"/>
      <c r="I913" s="29"/>
      <c r="J913" s="29"/>
      <c r="K913" s="19"/>
    </row>
    <row r="914" spans="7:11" x14ac:dyDescent="0.3">
      <c r="G914" s="19"/>
      <c r="I914" s="29"/>
      <c r="J914" s="29"/>
      <c r="K914" s="19"/>
    </row>
    <row r="915" spans="7:11" x14ac:dyDescent="0.3">
      <c r="G915" s="19"/>
      <c r="I915" s="29"/>
      <c r="J915" s="29"/>
      <c r="K915" s="19"/>
    </row>
    <row r="916" spans="7:11" x14ac:dyDescent="0.3">
      <c r="G916" s="19"/>
      <c r="I916" s="29"/>
      <c r="J916" s="29"/>
      <c r="K916" s="19"/>
    </row>
    <row r="917" spans="7:11" x14ac:dyDescent="0.3">
      <c r="G917" s="19"/>
      <c r="I917" s="29"/>
      <c r="J917" s="29"/>
      <c r="K917" s="19"/>
    </row>
    <row r="918" spans="7:11" x14ac:dyDescent="0.3">
      <c r="G918" s="19"/>
      <c r="I918" s="29"/>
      <c r="J918" s="29"/>
      <c r="K918" s="19"/>
    </row>
    <row r="919" spans="7:11" x14ac:dyDescent="0.3">
      <c r="G919" s="19"/>
      <c r="I919" s="29"/>
      <c r="J919" s="29"/>
      <c r="K919" s="19"/>
    </row>
    <row r="920" spans="7:11" x14ac:dyDescent="0.3">
      <c r="G920" s="19"/>
      <c r="I920" s="29"/>
      <c r="J920" s="29"/>
      <c r="K920" s="19"/>
    </row>
    <row r="921" spans="7:11" x14ac:dyDescent="0.3">
      <c r="G921" s="19"/>
      <c r="I921" s="29"/>
      <c r="J921" s="29"/>
      <c r="K921" s="19"/>
    </row>
    <row r="922" spans="7:11" x14ac:dyDescent="0.3">
      <c r="G922" s="19"/>
      <c r="I922" s="29"/>
      <c r="J922" s="29"/>
      <c r="K922" s="19"/>
    </row>
    <row r="923" spans="7:11" x14ac:dyDescent="0.3">
      <c r="G923" s="19"/>
      <c r="I923" s="29"/>
      <c r="J923" s="29"/>
      <c r="K923" s="19"/>
    </row>
    <row r="924" spans="7:11" x14ac:dyDescent="0.3">
      <c r="G924" s="19"/>
      <c r="I924" s="29"/>
      <c r="J924" s="29"/>
      <c r="K924" s="19"/>
    </row>
    <row r="925" spans="7:11" x14ac:dyDescent="0.3">
      <c r="G925" s="19"/>
      <c r="I925" s="29"/>
      <c r="J925" s="29"/>
      <c r="K925" s="19"/>
    </row>
    <row r="926" spans="7:11" x14ac:dyDescent="0.3">
      <c r="G926" s="19"/>
      <c r="I926" s="29"/>
      <c r="J926" s="29"/>
      <c r="K926" s="19"/>
    </row>
    <row r="927" spans="7:11" x14ac:dyDescent="0.3">
      <c r="G927" s="19"/>
      <c r="I927" s="29"/>
      <c r="J927" s="29"/>
      <c r="K927" s="19"/>
    </row>
    <row r="928" spans="7:11" x14ac:dyDescent="0.3">
      <c r="G928" s="19"/>
      <c r="I928" s="29"/>
      <c r="J928" s="29"/>
      <c r="K928" s="19"/>
    </row>
    <row r="929" spans="7:11" x14ac:dyDescent="0.3">
      <c r="G929" s="19"/>
      <c r="I929" s="29"/>
      <c r="J929" s="29"/>
      <c r="K929" s="19"/>
    </row>
    <row r="930" spans="7:11" x14ac:dyDescent="0.3">
      <c r="G930" s="19"/>
      <c r="I930" s="29"/>
      <c r="J930" s="29"/>
      <c r="K930" s="19"/>
    </row>
    <row r="931" spans="7:11" x14ac:dyDescent="0.3">
      <c r="G931" s="19"/>
      <c r="I931" s="29"/>
      <c r="J931" s="29"/>
      <c r="K931" s="19"/>
    </row>
    <row r="932" spans="7:11" x14ac:dyDescent="0.3">
      <c r="G932" s="19"/>
      <c r="I932" s="29"/>
      <c r="J932" s="29"/>
      <c r="K932" s="19"/>
    </row>
    <row r="933" spans="7:11" x14ac:dyDescent="0.3">
      <c r="G933" s="19"/>
      <c r="I933" s="29"/>
      <c r="J933" s="29"/>
      <c r="K933" s="19"/>
    </row>
    <row r="934" spans="7:11" x14ac:dyDescent="0.3">
      <c r="G934" s="19"/>
      <c r="I934" s="29"/>
      <c r="J934" s="29"/>
      <c r="K934" s="19"/>
    </row>
    <row r="935" spans="7:11" x14ac:dyDescent="0.3">
      <c r="G935" s="19"/>
      <c r="I935" s="29"/>
      <c r="J935" s="29"/>
      <c r="K935" s="19"/>
    </row>
    <row r="936" spans="7:11" x14ac:dyDescent="0.3">
      <c r="G936" s="19"/>
      <c r="I936" s="29"/>
      <c r="J936" s="29"/>
      <c r="K936" s="19"/>
    </row>
    <row r="937" spans="7:11" x14ac:dyDescent="0.3">
      <c r="G937" s="19"/>
      <c r="I937" s="29"/>
      <c r="J937" s="29"/>
      <c r="K937" s="19"/>
    </row>
    <row r="938" spans="7:11" x14ac:dyDescent="0.3">
      <c r="G938" s="19"/>
      <c r="I938" s="29"/>
      <c r="J938" s="29"/>
      <c r="K938" s="19"/>
    </row>
    <row r="939" spans="7:11" x14ac:dyDescent="0.3">
      <c r="G939" s="19"/>
      <c r="I939" s="29"/>
      <c r="J939" s="29"/>
      <c r="K939" s="19"/>
    </row>
    <row r="940" spans="7:11" x14ac:dyDescent="0.3">
      <c r="G940" s="19"/>
      <c r="I940" s="29"/>
      <c r="J940" s="29"/>
      <c r="K940" s="19"/>
    </row>
    <row r="941" spans="7:11" x14ac:dyDescent="0.3">
      <c r="G941" s="19"/>
      <c r="I941" s="29"/>
      <c r="J941" s="29"/>
      <c r="K941" s="19"/>
    </row>
    <row r="942" spans="7:11" x14ac:dyDescent="0.3">
      <c r="G942" s="19"/>
      <c r="I942" s="29"/>
      <c r="J942" s="29"/>
      <c r="K942" s="19"/>
    </row>
    <row r="943" spans="7:11" x14ac:dyDescent="0.3">
      <c r="G943" s="19"/>
      <c r="I943" s="29"/>
      <c r="J943" s="29"/>
      <c r="K943" s="19"/>
    </row>
    <row r="944" spans="7:11" x14ac:dyDescent="0.3">
      <c r="G944" s="19"/>
      <c r="I944" s="29"/>
      <c r="J944" s="29"/>
      <c r="K944" s="19"/>
    </row>
    <row r="945" spans="7:11" x14ac:dyDescent="0.3">
      <c r="G945" s="19"/>
      <c r="I945" s="29"/>
      <c r="J945" s="29"/>
      <c r="K945" s="19"/>
    </row>
    <row r="946" spans="7:11" x14ac:dyDescent="0.3">
      <c r="G946" s="19"/>
      <c r="I946" s="29"/>
      <c r="J946" s="29"/>
      <c r="K946" s="19"/>
    </row>
    <row r="947" spans="7:11" x14ac:dyDescent="0.3">
      <c r="G947" s="19"/>
      <c r="I947" s="29"/>
      <c r="J947" s="29"/>
      <c r="K947" s="19"/>
    </row>
    <row r="948" spans="7:11" x14ac:dyDescent="0.3">
      <c r="G948" s="19"/>
      <c r="I948" s="29"/>
      <c r="J948" s="29"/>
      <c r="K948" s="19"/>
    </row>
    <row r="949" spans="7:11" x14ac:dyDescent="0.3">
      <c r="G949" s="19"/>
      <c r="I949" s="29"/>
      <c r="J949" s="29"/>
      <c r="K949" s="19"/>
    </row>
    <row r="950" spans="7:11" x14ac:dyDescent="0.3">
      <c r="G950" s="19"/>
      <c r="I950" s="29"/>
      <c r="J950" s="29"/>
      <c r="K950" s="19"/>
    </row>
    <row r="951" spans="7:11" x14ac:dyDescent="0.3">
      <c r="G951" s="19"/>
      <c r="I951" s="29"/>
      <c r="J951" s="29"/>
      <c r="K951" s="19"/>
    </row>
    <row r="952" spans="7:11" x14ac:dyDescent="0.3">
      <c r="G952" s="19"/>
      <c r="I952" s="29"/>
      <c r="J952" s="29"/>
      <c r="K952" s="19"/>
    </row>
    <row r="953" spans="7:11" x14ac:dyDescent="0.3">
      <c r="G953" s="19"/>
      <c r="I953" s="29"/>
      <c r="J953" s="29"/>
      <c r="K953" s="19"/>
    </row>
    <row r="954" spans="7:11" x14ac:dyDescent="0.3">
      <c r="G954" s="19"/>
      <c r="I954" s="29"/>
      <c r="J954" s="29"/>
      <c r="K954" s="19"/>
    </row>
    <row r="955" spans="7:11" x14ac:dyDescent="0.3">
      <c r="G955" s="19"/>
      <c r="I955" s="29"/>
      <c r="J955" s="29"/>
      <c r="K955" s="19"/>
    </row>
    <row r="956" spans="7:11" x14ac:dyDescent="0.3">
      <c r="G956" s="19"/>
      <c r="I956" s="29"/>
      <c r="J956" s="29"/>
      <c r="K956" s="19"/>
    </row>
    <row r="957" spans="7:11" x14ac:dyDescent="0.3">
      <c r="G957" s="19"/>
      <c r="I957" s="29"/>
      <c r="J957" s="29"/>
      <c r="K957" s="19"/>
    </row>
    <row r="958" spans="7:11" x14ac:dyDescent="0.3">
      <c r="G958" s="19"/>
      <c r="I958" s="29"/>
      <c r="J958" s="29"/>
      <c r="K958" s="19"/>
    </row>
    <row r="959" spans="7:11" x14ac:dyDescent="0.3">
      <c r="G959" s="19"/>
      <c r="I959" s="29"/>
      <c r="J959" s="29"/>
      <c r="K959" s="19"/>
    </row>
    <row r="960" spans="7:11" x14ac:dyDescent="0.3">
      <c r="G960" s="19"/>
      <c r="I960" s="29"/>
      <c r="J960" s="29"/>
      <c r="K960" s="19"/>
    </row>
    <row r="961" spans="7:11" x14ac:dyDescent="0.3">
      <c r="G961" s="19"/>
      <c r="I961" s="29"/>
      <c r="J961" s="29"/>
      <c r="K961" s="19"/>
    </row>
    <row r="962" spans="7:11" x14ac:dyDescent="0.3">
      <c r="G962" s="19"/>
      <c r="I962" s="29"/>
      <c r="J962" s="29"/>
      <c r="K962" s="19"/>
    </row>
    <row r="963" spans="7:11" x14ac:dyDescent="0.3">
      <c r="G963" s="19"/>
      <c r="I963" s="29"/>
      <c r="J963" s="29"/>
      <c r="K963" s="19"/>
    </row>
    <row r="964" spans="7:11" x14ac:dyDescent="0.3">
      <c r="G964" s="19"/>
      <c r="I964" s="29"/>
      <c r="J964" s="29"/>
      <c r="K964" s="19"/>
    </row>
    <row r="965" spans="7:11" x14ac:dyDescent="0.3">
      <c r="G965" s="19"/>
      <c r="I965" s="29"/>
      <c r="J965" s="29"/>
      <c r="K965" s="19"/>
    </row>
    <row r="966" spans="7:11" x14ac:dyDescent="0.3">
      <c r="G966" s="19"/>
      <c r="I966" s="29"/>
      <c r="J966" s="29"/>
      <c r="K966" s="19"/>
    </row>
    <row r="967" spans="7:11" x14ac:dyDescent="0.3">
      <c r="G967" s="19"/>
      <c r="I967" s="29"/>
      <c r="J967" s="29"/>
      <c r="K967" s="19"/>
    </row>
    <row r="968" spans="7:11" x14ac:dyDescent="0.3">
      <c r="G968" s="19"/>
      <c r="I968" s="29"/>
      <c r="J968" s="29"/>
      <c r="K968" s="19"/>
    </row>
    <row r="969" spans="7:11" x14ac:dyDescent="0.3">
      <c r="G969" s="19"/>
      <c r="I969" s="29"/>
      <c r="J969" s="29"/>
      <c r="K969" s="19"/>
    </row>
    <row r="970" spans="7:11" x14ac:dyDescent="0.3">
      <c r="G970" s="19"/>
      <c r="I970" s="29"/>
      <c r="J970" s="29"/>
      <c r="K970" s="19"/>
    </row>
    <row r="971" spans="7:11" x14ac:dyDescent="0.3">
      <c r="G971" s="19"/>
      <c r="I971" s="29"/>
      <c r="J971" s="29"/>
      <c r="K971" s="19"/>
    </row>
    <row r="972" spans="7:11" x14ac:dyDescent="0.3">
      <c r="G972" s="19"/>
      <c r="I972" s="29"/>
      <c r="J972" s="29"/>
      <c r="K972" s="19"/>
    </row>
    <row r="973" spans="7:11" x14ac:dyDescent="0.3">
      <c r="G973" s="19"/>
      <c r="I973" s="29"/>
      <c r="J973" s="29"/>
      <c r="K973" s="19"/>
    </row>
    <row r="974" spans="7:11" x14ac:dyDescent="0.3">
      <c r="G974" s="19"/>
      <c r="I974" s="29"/>
      <c r="J974" s="29"/>
      <c r="K974" s="19"/>
    </row>
    <row r="975" spans="7:11" x14ac:dyDescent="0.3">
      <c r="G975" s="19"/>
      <c r="I975" s="29"/>
      <c r="J975" s="29"/>
      <c r="K975" s="19"/>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352B-779E-411F-9C96-14D989EDF2A2}">
  <sheetPr>
    <tabColor rgb="FF21518B"/>
  </sheetPr>
  <dimension ref="B1:P60"/>
  <sheetViews>
    <sheetView topLeftCell="B1" zoomScale="65" zoomScaleNormal="65" workbookViewId="0">
      <selection activeCell="B59" sqref="B59:F60"/>
    </sheetView>
  </sheetViews>
  <sheetFormatPr defaultRowHeight="14.4" x14ac:dyDescent="0.3"/>
  <cols>
    <col min="2" max="2" width="34.21875" bestFit="1" customWidth="1"/>
    <col min="3" max="3" width="21.5546875" bestFit="1" customWidth="1"/>
    <col min="4" max="4" width="30.44140625" bestFit="1" customWidth="1"/>
    <col min="5" max="5" width="27.77734375" bestFit="1" customWidth="1"/>
    <col min="6" max="6" width="17.88671875" bestFit="1" customWidth="1"/>
    <col min="7" max="7" width="33" bestFit="1" customWidth="1"/>
    <col min="8" max="8" width="5.77734375" customWidth="1"/>
    <col min="9" max="9" width="24.33203125" bestFit="1" customWidth="1"/>
    <col min="10" max="10" width="21.33203125" bestFit="1" customWidth="1"/>
    <col min="11" max="11" width="4.88671875" customWidth="1"/>
    <col min="12" max="12" width="22.21875" bestFit="1" customWidth="1"/>
    <col min="13" max="13" width="17.88671875" bestFit="1" customWidth="1"/>
    <col min="14" max="14" width="5" customWidth="1"/>
    <col min="15" max="15" width="15.5546875" bestFit="1" customWidth="1"/>
    <col min="16" max="16" width="34.6640625" customWidth="1"/>
    <col min="17" max="17" width="20.44140625" bestFit="1" customWidth="1"/>
  </cols>
  <sheetData>
    <row r="1" spans="2:16" ht="19.2" x14ac:dyDescent="0.45">
      <c r="B1" s="5" t="s">
        <v>554</v>
      </c>
    </row>
    <row r="2" spans="2:16" ht="20.399999999999999" x14ac:dyDescent="0.45">
      <c r="B2" s="18" t="s">
        <v>526</v>
      </c>
      <c r="C2" s="6">
        <f>SUM(Table2[Revenue])</f>
        <v>1255435</v>
      </c>
    </row>
    <row r="3" spans="2:16" ht="20.399999999999999" x14ac:dyDescent="0.45">
      <c r="B3" s="18" t="s">
        <v>527</v>
      </c>
      <c r="C3" s="6">
        <f>SUM(Table2[Cost])</f>
        <v>782766.44000000122</v>
      </c>
    </row>
    <row r="4" spans="2:16" ht="20.399999999999999" x14ac:dyDescent="0.45">
      <c r="B4" s="18" t="s">
        <v>528</v>
      </c>
      <c r="C4" s="6">
        <f>SUM(Table2[Profit])</f>
        <v>472668.47999999963</v>
      </c>
      <c r="E4" s="35"/>
    </row>
    <row r="5" spans="2:16" ht="20.399999999999999" x14ac:dyDescent="0.45">
      <c r="B5" s="18" t="s">
        <v>529</v>
      </c>
      <c r="C5" s="31">
        <f>SUM(Table2[Units])</f>
        <v>3043</v>
      </c>
      <c r="E5" s="35"/>
    </row>
    <row r="6" spans="2:16" ht="20.399999999999999" x14ac:dyDescent="0.45">
      <c r="B6" s="18" t="s">
        <v>530</v>
      </c>
      <c r="C6" s="7">
        <f>COUNTA(Table2[Order ID])</f>
        <v>500</v>
      </c>
    </row>
    <row r="7" spans="2:16" ht="20.399999999999999" x14ac:dyDescent="0.45">
      <c r="B7" s="18" t="s">
        <v>531</v>
      </c>
      <c r="C7" s="8">
        <f>(C4/C2)</f>
        <v>0.37649777168869725</v>
      </c>
    </row>
    <row r="8" spans="2:16" ht="20.399999999999999" x14ac:dyDescent="0.45">
      <c r="B8" s="18" t="s">
        <v>532</v>
      </c>
      <c r="C8" s="6">
        <f>(C2/C6)</f>
        <v>2510.87</v>
      </c>
    </row>
    <row r="9" spans="2:16" ht="20.399999999999999" x14ac:dyDescent="0.45">
      <c r="B9" s="18" t="s">
        <v>533</v>
      </c>
      <c r="C9" s="8">
        <f>AVERAGE('Cleaned Data'!H2:H501)</f>
        <v>7.1100000000000066E-2</v>
      </c>
    </row>
    <row r="10" spans="2:16" ht="15.6" x14ac:dyDescent="0.35">
      <c r="I10" s="2"/>
    </row>
    <row r="11" spans="2:16" ht="20.399999999999999" x14ac:dyDescent="0.45">
      <c r="B11" s="3" t="s">
        <v>551</v>
      </c>
      <c r="I11" s="3" t="s">
        <v>555</v>
      </c>
      <c r="J11" s="3"/>
      <c r="L11" s="3" t="s">
        <v>556</v>
      </c>
      <c r="M11" s="4"/>
      <c r="O11" s="71" t="s">
        <v>557</v>
      </c>
      <c r="P11" s="71"/>
    </row>
    <row r="12" spans="2:16" ht="20.399999999999999" x14ac:dyDescent="0.45">
      <c r="B12" s="12" t="s">
        <v>584</v>
      </c>
      <c r="C12" s="13" t="s">
        <v>548</v>
      </c>
      <c r="D12" s="13" t="s">
        <v>570</v>
      </c>
      <c r="E12" s="13" t="s">
        <v>550</v>
      </c>
      <c r="F12" s="13" t="s">
        <v>549</v>
      </c>
      <c r="G12" s="14" t="s">
        <v>586</v>
      </c>
      <c r="I12" s="47" t="s">
        <v>4</v>
      </c>
      <c r="J12" s="48" t="s">
        <v>548</v>
      </c>
      <c r="L12" s="47" t="s">
        <v>4</v>
      </c>
      <c r="M12" s="48" t="s">
        <v>549</v>
      </c>
      <c r="O12" s="20" t="s">
        <v>4</v>
      </c>
      <c r="P12" s="21" t="s">
        <v>583</v>
      </c>
    </row>
    <row r="13" spans="2:16" ht="20.399999999999999" x14ac:dyDescent="0.45">
      <c r="B13" s="9" t="s">
        <v>536</v>
      </c>
      <c r="C13" s="10">
        <v>135889.70000000001</v>
      </c>
      <c r="D13" s="11">
        <v>0.10824112757729391</v>
      </c>
      <c r="E13" s="51">
        <v>296</v>
      </c>
      <c r="F13" s="49">
        <v>51780.580000000009</v>
      </c>
      <c r="G13" s="52">
        <v>0.38104860044580274</v>
      </c>
      <c r="I13" s="48" t="s">
        <v>22</v>
      </c>
      <c r="J13" s="49">
        <v>177341.81000000006</v>
      </c>
      <c r="L13" s="48" t="s">
        <v>14</v>
      </c>
      <c r="M13" s="49">
        <v>67651.310000000027</v>
      </c>
      <c r="O13" s="21" t="s">
        <v>24</v>
      </c>
      <c r="P13" s="23">
        <v>0.36205741103027372</v>
      </c>
    </row>
    <row r="14" spans="2:16" ht="20.399999999999999" x14ac:dyDescent="0.45">
      <c r="B14" s="9" t="s">
        <v>537</v>
      </c>
      <c r="C14" s="10">
        <v>67939.42</v>
      </c>
      <c r="D14" s="11">
        <v>5.4116238594590707E-2</v>
      </c>
      <c r="E14" s="51">
        <v>190</v>
      </c>
      <c r="F14" s="49">
        <v>26028.31</v>
      </c>
      <c r="G14" s="52">
        <v>0.38311057115294778</v>
      </c>
      <c r="I14" s="48" t="s">
        <v>14</v>
      </c>
      <c r="J14" s="49">
        <v>173392.28</v>
      </c>
      <c r="L14" s="48" t="s">
        <v>22</v>
      </c>
      <c r="M14" s="49">
        <v>67109.55</v>
      </c>
      <c r="O14" s="21" t="s">
        <v>22</v>
      </c>
      <c r="P14" s="23">
        <v>0.37841922330667527</v>
      </c>
    </row>
    <row r="15" spans="2:16" ht="20.399999999999999" x14ac:dyDescent="0.45">
      <c r="B15" s="9" t="s">
        <v>538</v>
      </c>
      <c r="C15" s="10">
        <v>106752.27999999997</v>
      </c>
      <c r="D15" s="11">
        <v>8.5032104410025164E-2</v>
      </c>
      <c r="E15" s="51">
        <v>289</v>
      </c>
      <c r="F15" s="49">
        <v>43314.600000000006</v>
      </c>
      <c r="G15" s="52">
        <v>0.40574871094088122</v>
      </c>
      <c r="I15" s="48" t="s">
        <v>26</v>
      </c>
      <c r="J15" s="49">
        <v>167533.85</v>
      </c>
      <c r="L15" s="48" t="s">
        <v>29</v>
      </c>
      <c r="M15" s="49">
        <v>63756.859999999993</v>
      </c>
      <c r="O15" s="21" t="s">
        <v>31</v>
      </c>
      <c r="P15" s="23">
        <v>0.37494242129934152</v>
      </c>
    </row>
    <row r="16" spans="2:16" ht="20.399999999999999" x14ac:dyDescent="0.45">
      <c r="B16" s="9" t="s">
        <v>539</v>
      </c>
      <c r="C16" s="10">
        <v>79047.579999999987</v>
      </c>
      <c r="D16" s="11">
        <v>6.2964295244277851E-2</v>
      </c>
      <c r="E16" s="51">
        <v>210</v>
      </c>
      <c r="F16" s="49">
        <v>30997.09</v>
      </c>
      <c r="G16" s="52">
        <v>0.3921320551495695</v>
      </c>
      <c r="I16" s="48" t="s">
        <v>29</v>
      </c>
      <c r="J16" s="49">
        <v>164608.95000000007</v>
      </c>
      <c r="L16" s="48" t="s">
        <v>26</v>
      </c>
      <c r="M16" s="49">
        <v>61970.810000000005</v>
      </c>
      <c r="O16" s="21" t="s">
        <v>18</v>
      </c>
      <c r="P16" s="23">
        <v>0.3560237027808929</v>
      </c>
    </row>
    <row r="17" spans="2:16" ht="20.399999999999999" x14ac:dyDescent="0.45">
      <c r="B17" s="9" t="s">
        <v>540</v>
      </c>
      <c r="C17" s="10">
        <v>76031.770000000019</v>
      </c>
      <c r="D17" s="11">
        <v>6.0562092023880174E-2</v>
      </c>
      <c r="E17" s="51">
        <v>176</v>
      </c>
      <c r="F17" s="49">
        <v>28459.77</v>
      </c>
      <c r="G17" s="52">
        <v>0.37431418471515254</v>
      </c>
      <c r="I17" s="48" t="s">
        <v>18</v>
      </c>
      <c r="J17" s="49">
        <v>164007.75999999995</v>
      </c>
      <c r="L17" s="48" t="s">
        <v>18</v>
      </c>
      <c r="M17" s="49">
        <v>58390.65</v>
      </c>
      <c r="O17" s="21" t="s">
        <v>34</v>
      </c>
      <c r="P17" s="23">
        <v>0.39405452809646596</v>
      </c>
    </row>
    <row r="18" spans="2:16" ht="20.399999999999999" x14ac:dyDescent="0.45">
      <c r="B18" s="9" t="s">
        <v>541</v>
      </c>
      <c r="C18" s="10">
        <v>135972.10000000003</v>
      </c>
      <c r="D18" s="11">
        <v>0.10830676219796326</v>
      </c>
      <c r="E18" s="51">
        <v>276</v>
      </c>
      <c r="F18" s="49">
        <v>51563.649999999994</v>
      </c>
      <c r="G18" s="52">
        <v>0.37922228162983423</v>
      </c>
      <c r="I18" s="48" t="s">
        <v>24</v>
      </c>
      <c r="J18" s="49">
        <v>141503.47000000003</v>
      </c>
      <c r="L18" s="48" t="s">
        <v>31</v>
      </c>
      <c r="M18" s="49">
        <v>52460.889999999992</v>
      </c>
      <c r="O18" s="21" t="s">
        <v>29</v>
      </c>
      <c r="P18" s="23">
        <v>0.38732316802944167</v>
      </c>
    </row>
    <row r="19" spans="2:16" ht="20.399999999999999" x14ac:dyDescent="0.45">
      <c r="B19" s="9" t="s">
        <v>542</v>
      </c>
      <c r="C19" s="10">
        <v>68761.55</v>
      </c>
      <c r="D19" s="11">
        <v>5.4771095277732412E-2</v>
      </c>
      <c r="E19" s="51">
        <v>207</v>
      </c>
      <c r="F19" s="49">
        <v>22882.589999999997</v>
      </c>
      <c r="G19" s="52">
        <v>0.33278176539068705</v>
      </c>
      <c r="I19" s="48" t="s">
        <v>31</v>
      </c>
      <c r="J19" s="49">
        <v>139917.18999999994</v>
      </c>
      <c r="L19" s="48" t="s">
        <v>24</v>
      </c>
      <c r="M19" s="49">
        <v>51232.380000000019</v>
      </c>
      <c r="O19" s="21" t="s">
        <v>14</v>
      </c>
      <c r="P19" s="23">
        <v>0.39016333368475242</v>
      </c>
    </row>
    <row r="20" spans="2:16" ht="20.399999999999999" x14ac:dyDescent="0.45">
      <c r="B20" s="9" t="s">
        <v>543</v>
      </c>
      <c r="C20" s="10">
        <v>103987.20999999998</v>
      </c>
      <c r="D20" s="11">
        <v>8.2829624791406931E-2</v>
      </c>
      <c r="E20" s="51">
        <v>228</v>
      </c>
      <c r="F20" s="49">
        <v>41295.35</v>
      </c>
      <c r="G20" s="52">
        <v>0.3971195111398797</v>
      </c>
      <c r="I20" s="48" t="s">
        <v>34</v>
      </c>
      <c r="J20" s="49">
        <v>127129.68999999997</v>
      </c>
      <c r="L20" s="48" t="s">
        <v>34</v>
      </c>
      <c r="M20" s="49">
        <v>50096.03</v>
      </c>
      <c r="O20" s="21" t="s">
        <v>26</v>
      </c>
      <c r="P20" s="23">
        <v>0.36990023210234829</v>
      </c>
    </row>
    <row r="21" spans="2:16" ht="20.399999999999999" x14ac:dyDescent="0.45">
      <c r="B21" s="9" t="s">
        <v>544</v>
      </c>
      <c r="C21" s="10">
        <v>98594.889999999985</v>
      </c>
      <c r="D21" s="11">
        <v>7.8534444236459847E-2</v>
      </c>
      <c r="E21" s="51">
        <v>252</v>
      </c>
      <c r="F21" s="49">
        <v>36427.579999999994</v>
      </c>
      <c r="G21" s="52">
        <v>0.36946722086712608</v>
      </c>
      <c r="I21" s="48" t="s">
        <v>535</v>
      </c>
      <c r="J21" s="49">
        <v>1255435</v>
      </c>
      <c r="L21" s="48" t="s">
        <v>535</v>
      </c>
      <c r="M21" s="49">
        <v>472668.48000000004</v>
      </c>
      <c r="O21" s="21" t="s">
        <v>535</v>
      </c>
      <c r="P21" s="23">
        <v>0.37649777168869741</v>
      </c>
    </row>
    <row r="22" spans="2:16" ht="20.399999999999999" x14ac:dyDescent="0.45">
      <c r="B22" s="9" t="s">
        <v>545</v>
      </c>
      <c r="C22" s="10">
        <v>112594.14999999998</v>
      </c>
      <c r="D22" s="11">
        <v>8.9685368019849665E-2</v>
      </c>
      <c r="E22" s="51">
        <v>254</v>
      </c>
      <c r="F22" s="49">
        <v>37406.039999999994</v>
      </c>
      <c r="G22" s="52">
        <v>0.33222010202128621</v>
      </c>
      <c r="J22" s="22"/>
    </row>
    <row r="23" spans="2:16" ht="20.399999999999999" x14ac:dyDescent="0.45">
      <c r="B23" s="9" t="s">
        <v>546</v>
      </c>
      <c r="C23" s="10">
        <v>116216.59999999999</v>
      </c>
      <c r="D23" s="11">
        <v>9.2570782238825561E-2</v>
      </c>
      <c r="E23" s="51">
        <v>290</v>
      </c>
      <c r="F23" s="49">
        <v>42800.840000000004</v>
      </c>
      <c r="G23" s="52">
        <v>0.36828508147717287</v>
      </c>
    </row>
    <row r="24" spans="2:16" ht="20.399999999999999" x14ac:dyDescent="0.45">
      <c r="B24" s="9" t="s">
        <v>547</v>
      </c>
      <c r="C24" s="10">
        <v>153647.75</v>
      </c>
      <c r="D24" s="11">
        <v>0.12238606538769428</v>
      </c>
      <c r="E24" s="51">
        <v>375</v>
      </c>
      <c r="F24" s="49">
        <v>59712.080000000009</v>
      </c>
      <c r="G24" s="52">
        <v>0.38862970658535517</v>
      </c>
    </row>
    <row r="25" spans="2:16" ht="20.399999999999999" x14ac:dyDescent="0.45">
      <c r="B25" s="15" t="s">
        <v>535</v>
      </c>
      <c r="C25" s="16">
        <v>1255435.0000000002</v>
      </c>
      <c r="D25" s="17">
        <v>1</v>
      </c>
      <c r="E25" s="53">
        <v>3043</v>
      </c>
      <c r="F25" s="49">
        <v>472668.48000000004</v>
      </c>
      <c r="G25" s="54">
        <v>0.37649777168869741</v>
      </c>
      <c r="J25" s="22"/>
    </row>
    <row r="27" spans="2:16" ht="16.8" x14ac:dyDescent="0.4">
      <c r="B27" s="3" t="s">
        <v>553</v>
      </c>
    </row>
    <row r="28" spans="2:16" ht="20.399999999999999" x14ac:dyDescent="0.45">
      <c r="B28" s="47" t="s">
        <v>3</v>
      </c>
      <c r="C28" s="48" t="s">
        <v>549</v>
      </c>
      <c r="D28" s="48" t="s">
        <v>548</v>
      </c>
      <c r="E28" s="48" t="s">
        <v>552</v>
      </c>
      <c r="F28" s="48" t="s">
        <v>585</v>
      </c>
    </row>
    <row r="29" spans="2:16" ht="20.399999999999999" x14ac:dyDescent="0.45">
      <c r="B29" s="48" t="s">
        <v>33</v>
      </c>
      <c r="C29" s="49">
        <v>141979.62999999995</v>
      </c>
      <c r="D29" s="49">
        <v>388620.63000000018</v>
      </c>
      <c r="E29" s="49">
        <v>458.48653594771253</v>
      </c>
      <c r="F29" s="50">
        <v>153</v>
      </c>
    </row>
    <row r="30" spans="2:16" ht="20.399999999999999" x14ac:dyDescent="0.45">
      <c r="B30" s="48" t="s">
        <v>13</v>
      </c>
      <c r="C30" s="49">
        <v>181726.30000000005</v>
      </c>
      <c r="D30" s="49">
        <v>470505.22</v>
      </c>
      <c r="E30" s="49">
        <v>456.41484042553185</v>
      </c>
      <c r="F30" s="50">
        <v>188</v>
      </c>
    </row>
    <row r="31" spans="2:16" ht="20.399999999999999" x14ac:dyDescent="0.45">
      <c r="B31" s="48" t="s">
        <v>17</v>
      </c>
      <c r="C31" s="49">
        <v>148962.55000000002</v>
      </c>
      <c r="D31" s="49">
        <v>396309.15000000008</v>
      </c>
      <c r="E31" s="49">
        <v>434.32276729559737</v>
      </c>
      <c r="F31" s="50">
        <v>159</v>
      </c>
    </row>
    <row r="32" spans="2:16" ht="20.399999999999999" x14ac:dyDescent="0.45">
      <c r="B32" s="48" t="s">
        <v>535</v>
      </c>
      <c r="C32" s="49">
        <v>472668.47999999969</v>
      </c>
      <c r="D32" s="49">
        <v>1255434.9999999995</v>
      </c>
      <c r="E32" s="49">
        <v>450.02349999999973</v>
      </c>
      <c r="F32" s="50">
        <v>500</v>
      </c>
    </row>
    <row r="35" spans="2:10" ht="16.8" x14ac:dyDescent="0.4">
      <c r="B35" s="3" t="s">
        <v>558</v>
      </c>
    </row>
    <row r="36" spans="2:10" ht="18" x14ac:dyDescent="0.4">
      <c r="B36" s="24" t="s">
        <v>559</v>
      </c>
      <c r="D36" s="24" t="s">
        <v>560</v>
      </c>
      <c r="F36" s="24" t="s">
        <v>561</v>
      </c>
    </row>
    <row r="37" spans="2:10" ht="19.2" x14ac:dyDescent="0.45">
      <c r="B37" s="61" t="s">
        <v>565</v>
      </c>
      <c r="C37" s="62" t="s">
        <v>548</v>
      </c>
      <c r="D37" s="66" t="s">
        <v>565</v>
      </c>
      <c r="E37" s="67" t="s">
        <v>549</v>
      </c>
      <c r="F37" s="66" t="s">
        <v>4</v>
      </c>
      <c r="G37" s="67" t="s">
        <v>548</v>
      </c>
      <c r="J37" s="32"/>
    </row>
    <row r="38" spans="2:10" ht="19.2" x14ac:dyDescent="0.45">
      <c r="B38" s="65" t="s">
        <v>536</v>
      </c>
      <c r="C38" s="63">
        <v>135889.70000000001</v>
      </c>
      <c r="D38" s="67" t="s">
        <v>536</v>
      </c>
      <c r="E38" s="68">
        <v>51780.580000000009</v>
      </c>
      <c r="F38" s="67" t="s">
        <v>22</v>
      </c>
      <c r="G38" s="68">
        <v>177341.81000000006</v>
      </c>
      <c r="J38" s="32"/>
    </row>
    <row r="39" spans="2:10" ht="19.2" x14ac:dyDescent="0.45">
      <c r="B39" s="64" t="s">
        <v>537</v>
      </c>
      <c r="C39" s="63">
        <v>67939.42</v>
      </c>
      <c r="D39" s="67" t="s">
        <v>537</v>
      </c>
      <c r="E39" s="68">
        <v>26028.31</v>
      </c>
      <c r="F39" s="67" t="s">
        <v>14</v>
      </c>
      <c r="G39" s="68">
        <v>173392.28</v>
      </c>
    </row>
    <row r="40" spans="2:10" ht="19.2" x14ac:dyDescent="0.45">
      <c r="B40" s="64" t="s">
        <v>538</v>
      </c>
      <c r="C40" s="63">
        <v>106752.27999999997</v>
      </c>
      <c r="D40" s="67" t="s">
        <v>538</v>
      </c>
      <c r="E40" s="68">
        <v>43314.600000000006</v>
      </c>
      <c r="F40" s="67" t="s">
        <v>26</v>
      </c>
      <c r="G40" s="68">
        <v>167533.85</v>
      </c>
    </row>
    <row r="41" spans="2:10" ht="19.2" x14ac:dyDescent="0.45">
      <c r="B41" s="64" t="s">
        <v>539</v>
      </c>
      <c r="C41" s="63">
        <v>79047.579999999987</v>
      </c>
      <c r="D41" s="67" t="s">
        <v>539</v>
      </c>
      <c r="E41" s="68">
        <v>30997.09</v>
      </c>
      <c r="F41" s="67" t="s">
        <v>29</v>
      </c>
      <c r="G41" s="68">
        <v>164608.95000000007</v>
      </c>
    </row>
    <row r="42" spans="2:10" ht="19.2" x14ac:dyDescent="0.45">
      <c r="B42" s="64" t="s">
        <v>540</v>
      </c>
      <c r="C42" s="63">
        <v>76031.770000000019</v>
      </c>
      <c r="D42" s="67" t="s">
        <v>540</v>
      </c>
      <c r="E42" s="68">
        <v>28459.77</v>
      </c>
      <c r="F42" s="67" t="s">
        <v>18</v>
      </c>
      <c r="G42" s="68">
        <v>164007.75999999995</v>
      </c>
      <c r="J42" s="1"/>
    </row>
    <row r="43" spans="2:10" ht="19.2" x14ac:dyDescent="0.45">
      <c r="B43" s="64" t="s">
        <v>541</v>
      </c>
      <c r="C43" s="63">
        <v>135972.10000000003</v>
      </c>
      <c r="D43" s="67" t="s">
        <v>541</v>
      </c>
      <c r="E43" s="68">
        <v>51563.649999999994</v>
      </c>
      <c r="F43" s="67" t="s">
        <v>24</v>
      </c>
      <c r="G43" s="68">
        <v>141503.47000000003</v>
      </c>
    </row>
    <row r="44" spans="2:10" ht="19.2" x14ac:dyDescent="0.45">
      <c r="B44" s="64" t="s">
        <v>542</v>
      </c>
      <c r="C44" s="63">
        <v>68761.55</v>
      </c>
      <c r="D44" s="67" t="s">
        <v>542</v>
      </c>
      <c r="E44" s="68">
        <v>22882.589999999997</v>
      </c>
      <c r="F44" s="67" t="s">
        <v>31</v>
      </c>
      <c r="G44" s="68">
        <v>139917.18999999994</v>
      </c>
    </row>
    <row r="45" spans="2:10" ht="19.2" x14ac:dyDescent="0.45">
      <c r="B45" s="64" t="s">
        <v>543</v>
      </c>
      <c r="C45" s="63">
        <v>103987.20999999998</v>
      </c>
      <c r="D45" s="67" t="s">
        <v>543</v>
      </c>
      <c r="E45" s="68">
        <v>41295.35</v>
      </c>
      <c r="F45" s="67" t="s">
        <v>34</v>
      </c>
      <c r="G45" s="68">
        <v>127129.68999999997</v>
      </c>
    </row>
    <row r="46" spans="2:10" ht="19.2" x14ac:dyDescent="0.45">
      <c r="B46" s="64" t="s">
        <v>544</v>
      </c>
      <c r="C46" s="63">
        <v>98594.889999999985</v>
      </c>
      <c r="D46" s="67" t="s">
        <v>544</v>
      </c>
      <c r="E46" s="68">
        <v>36427.579999999994</v>
      </c>
      <c r="F46" s="67" t="s">
        <v>535</v>
      </c>
      <c r="G46" s="68">
        <v>1255435</v>
      </c>
    </row>
    <row r="47" spans="2:10" ht="19.2" x14ac:dyDescent="0.45">
      <c r="B47" s="64" t="s">
        <v>545</v>
      </c>
      <c r="C47" s="63">
        <v>112594.14999999998</v>
      </c>
      <c r="D47" s="67" t="s">
        <v>545</v>
      </c>
      <c r="E47" s="68">
        <v>37406.039999999994</v>
      </c>
      <c r="F47" s="33"/>
      <c r="G47" s="33"/>
    </row>
    <row r="48" spans="2:10" ht="19.2" x14ac:dyDescent="0.45">
      <c r="B48" s="64" t="s">
        <v>546</v>
      </c>
      <c r="C48" s="63">
        <v>116216.59999999999</v>
      </c>
      <c r="D48" s="67" t="s">
        <v>546</v>
      </c>
      <c r="E48" s="68">
        <v>42800.840000000004</v>
      </c>
      <c r="F48" s="33"/>
      <c r="G48" s="33"/>
    </row>
    <row r="49" spans="2:7" ht="19.2" x14ac:dyDescent="0.45">
      <c r="B49" s="64" t="s">
        <v>547</v>
      </c>
      <c r="C49" s="63">
        <v>153647.75</v>
      </c>
      <c r="D49" s="67" t="s">
        <v>547</v>
      </c>
      <c r="E49" s="68">
        <v>59712.080000000009</v>
      </c>
      <c r="F49" s="33"/>
      <c r="G49" s="33"/>
    </row>
    <row r="50" spans="2:7" ht="19.2" x14ac:dyDescent="0.45">
      <c r="B50" s="64" t="s">
        <v>535</v>
      </c>
      <c r="C50" s="63">
        <v>1255435.0000000002</v>
      </c>
      <c r="D50" s="67" t="s">
        <v>535</v>
      </c>
      <c r="E50" s="68">
        <v>472668.48000000004</v>
      </c>
      <c r="F50" s="33"/>
      <c r="G50" s="33"/>
    </row>
    <row r="51" spans="2:7" ht="18" x14ac:dyDescent="0.4">
      <c r="B51" s="24" t="s">
        <v>563</v>
      </c>
      <c r="C51" s="33"/>
      <c r="D51" s="24" t="s">
        <v>562</v>
      </c>
      <c r="E51" s="33"/>
      <c r="F51" s="33"/>
      <c r="G51" s="33"/>
    </row>
    <row r="52" spans="2:7" ht="19.2" x14ac:dyDescent="0.45">
      <c r="B52" s="66" t="s">
        <v>3</v>
      </c>
      <c r="C52" s="67" t="s">
        <v>548</v>
      </c>
      <c r="D52" s="66" t="s">
        <v>2</v>
      </c>
      <c r="E52" s="67" t="s">
        <v>548</v>
      </c>
    </row>
    <row r="53" spans="2:7" ht="19.2" x14ac:dyDescent="0.45">
      <c r="B53" s="67" t="s">
        <v>33</v>
      </c>
      <c r="C53" s="68">
        <v>388620.63000000018</v>
      </c>
      <c r="D53" s="67" t="s">
        <v>21</v>
      </c>
      <c r="E53" s="68">
        <v>375374.81</v>
      </c>
    </row>
    <row r="54" spans="2:7" ht="19.2" x14ac:dyDescent="0.45">
      <c r="B54" s="67" t="s">
        <v>13</v>
      </c>
      <c r="C54" s="68">
        <v>470505.22</v>
      </c>
      <c r="D54" s="67" t="s">
        <v>16</v>
      </c>
      <c r="E54" s="68">
        <v>305436.6399999999</v>
      </c>
    </row>
    <row r="55" spans="2:7" ht="19.2" x14ac:dyDescent="0.45">
      <c r="B55" s="67" t="s">
        <v>17</v>
      </c>
      <c r="C55" s="68">
        <v>396309.15000000008</v>
      </c>
      <c r="D55" s="67" t="s">
        <v>12</v>
      </c>
      <c r="E55" s="68">
        <v>304355.21999999997</v>
      </c>
    </row>
    <row r="56" spans="2:7" ht="19.2" x14ac:dyDescent="0.45">
      <c r="B56" s="67" t="s">
        <v>535</v>
      </c>
      <c r="C56" s="68">
        <v>1255435.0000000002</v>
      </c>
      <c r="D56" s="67" t="s">
        <v>28</v>
      </c>
      <c r="E56" s="68">
        <v>270268.33000000007</v>
      </c>
    </row>
    <row r="57" spans="2:7" ht="19.2" x14ac:dyDescent="0.45">
      <c r="B57" s="33"/>
      <c r="C57" s="33"/>
      <c r="D57" s="67" t="s">
        <v>535</v>
      </c>
      <c r="E57" s="68">
        <v>1255435</v>
      </c>
    </row>
    <row r="58" spans="2:7" ht="15.6" x14ac:dyDescent="0.3">
      <c r="B58" s="33"/>
      <c r="C58" s="33"/>
      <c r="D58" s="33"/>
      <c r="E58" s="33"/>
      <c r="F58" s="33"/>
      <c r="G58" s="33"/>
    </row>
    <row r="59" spans="2:7" ht="21" x14ac:dyDescent="0.4">
      <c r="B59" s="55" t="s">
        <v>566</v>
      </c>
      <c r="C59" s="55" t="s">
        <v>567</v>
      </c>
      <c r="D59" s="56" t="s">
        <v>583</v>
      </c>
      <c r="E59" s="55" t="s">
        <v>568</v>
      </c>
      <c r="F59" s="55" t="s">
        <v>569</v>
      </c>
      <c r="G59" s="33"/>
    </row>
    <row r="60" spans="2:7" ht="24.6" x14ac:dyDescent="0.55000000000000004">
      <c r="B60" s="57">
        <v>1255435</v>
      </c>
      <c r="C60" s="57">
        <v>472668.47999999963</v>
      </c>
      <c r="D60" s="58">
        <v>0.37649777168869725</v>
      </c>
      <c r="E60" s="69">
        <v>3043</v>
      </c>
      <c r="F60" s="69">
        <v>500</v>
      </c>
    </row>
  </sheetData>
  <mergeCells count="1">
    <mergeCell ref="O11:P11"/>
  </mergeCells>
  <pageMargins left="0.7" right="0.7" top="0.75" bottom="0.75" header="0.3" footer="0.3"/>
  <pageSetup orientation="portrait"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1AF0F-692F-4228-A4C0-A620E76811A2}">
  <sheetPr>
    <tabColor theme="3" tint="0.39997558519241921"/>
  </sheetPr>
  <dimension ref="A1:Y3"/>
  <sheetViews>
    <sheetView showGridLines="0" zoomScale="70" zoomScaleNormal="88" workbookViewId="0">
      <selection activeCell="G50" sqref="G50"/>
    </sheetView>
  </sheetViews>
  <sheetFormatPr defaultColWidth="8.77734375" defaultRowHeight="14.4" x14ac:dyDescent="0.3"/>
  <cols>
    <col min="1" max="1" width="4.77734375" style="59" customWidth="1"/>
    <col min="2" max="2" width="12.77734375" style="59" bestFit="1" customWidth="1"/>
    <col min="3" max="3" width="11.5546875" style="59" bestFit="1" customWidth="1"/>
    <col min="4" max="4" width="21.109375" style="59" bestFit="1" customWidth="1"/>
    <col min="5" max="5" width="8.5546875" bestFit="1" customWidth="1"/>
    <col min="6" max="6" width="10.44140625" bestFit="1" customWidth="1"/>
    <col min="7" max="7" width="14.88671875" bestFit="1" customWidth="1"/>
    <col min="24" max="24" width="15.88671875" bestFit="1" customWidth="1"/>
    <col min="25" max="25" width="13.77734375" bestFit="1" customWidth="1"/>
    <col min="26" max="26" width="21.109375" bestFit="1" customWidth="1"/>
    <col min="27" max="27" width="8.44140625" bestFit="1" customWidth="1"/>
    <col min="28" max="28" width="10.44140625" bestFit="1" customWidth="1"/>
  </cols>
  <sheetData>
    <row r="1" spans="2:25" ht="24.6" x14ac:dyDescent="0.55000000000000004">
      <c r="B1" s="60"/>
      <c r="C1" s="60"/>
      <c r="D1" s="60"/>
      <c r="E1" s="70" t="s">
        <v>592</v>
      </c>
      <c r="F1" s="70"/>
      <c r="G1" s="70"/>
      <c r="H1" s="70"/>
      <c r="I1" s="70"/>
      <c r="J1" s="70"/>
      <c r="K1" s="70"/>
      <c r="L1" s="70"/>
      <c r="M1" s="70"/>
      <c r="N1" s="70"/>
      <c r="O1" s="70"/>
      <c r="P1" s="70"/>
      <c r="Q1" s="70"/>
      <c r="R1" s="70"/>
      <c r="S1" s="70"/>
      <c r="T1" s="70"/>
      <c r="U1" s="70"/>
      <c r="V1" s="70"/>
      <c r="W1" s="70"/>
      <c r="X1" s="70"/>
      <c r="Y1" s="70"/>
    </row>
    <row r="2" spans="2:25" x14ac:dyDescent="0.3">
      <c r="E2" s="70"/>
      <c r="F2" s="70"/>
      <c r="G2" s="70"/>
      <c r="H2" s="70"/>
      <c r="I2" s="70"/>
      <c r="J2" s="70"/>
      <c r="K2" s="70"/>
      <c r="L2" s="70"/>
      <c r="M2" s="70"/>
      <c r="N2" s="70"/>
      <c r="O2" s="70"/>
      <c r="P2" s="70"/>
      <c r="Q2" s="70"/>
      <c r="R2" s="70"/>
      <c r="S2" s="70"/>
      <c r="T2" s="70"/>
      <c r="U2" s="70"/>
      <c r="V2" s="70"/>
      <c r="W2" s="70"/>
      <c r="X2" s="70"/>
      <c r="Y2" s="70"/>
    </row>
    <row r="3" spans="2:25" x14ac:dyDescent="0.3">
      <c r="E3" s="70"/>
      <c r="F3" s="70"/>
      <c r="G3" s="70"/>
      <c r="H3" s="70"/>
      <c r="I3" s="70"/>
      <c r="J3" s="70"/>
      <c r="K3" s="70"/>
      <c r="L3" s="70"/>
      <c r="M3" s="70"/>
      <c r="N3" s="70"/>
      <c r="O3" s="70"/>
      <c r="P3" s="70"/>
      <c r="Q3" s="70"/>
      <c r="R3" s="70"/>
      <c r="S3" s="70"/>
      <c r="T3" s="70"/>
      <c r="U3" s="70"/>
      <c r="V3" s="70"/>
      <c r="W3" s="70"/>
      <c r="X3" s="70"/>
      <c r="Y3" s="70"/>
    </row>
  </sheetData>
  <mergeCells count="1">
    <mergeCell ref="E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9418-DC52-438A-BD7D-9A26C1D0532A}">
  <sheetPr>
    <tabColor theme="3" tint="0.59999389629810485"/>
  </sheetPr>
  <dimension ref="B2:S9"/>
  <sheetViews>
    <sheetView zoomScale="117" workbookViewId="0">
      <selection activeCell="K16" sqref="K16"/>
    </sheetView>
  </sheetViews>
  <sheetFormatPr defaultRowHeight="14.4" x14ac:dyDescent="0.3"/>
  <cols>
    <col min="2" max="2" width="10.21875" bestFit="1" customWidth="1"/>
    <col min="8" max="8" width="13.6640625" customWidth="1"/>
    <col min="11" max="11" width="10.109375" bestFit="1" customWidth="1"/>
    <col min="12" max="12" width="13.5546875" customWidth="1"/>
  </cols>
  <sheetData>
    <row r="2" spans="2:19" ht="20.399999999999999" x14ac:dyDescent="0.45">
      <c r="B2" s="77" t="s">
        <v>564</v>
      </c>
      <c r="C2" s="77"/>
    </row>
    <row r="4" spans="2:19" ht="16.8" x14ac:dyDescent="0.4">
      <c r="B4" s="78" t="s">
        <v>587</v>
      </c>
      <c r="C4" s="79"/>
      <c r="D4" s="80" t="s">
        <v>564</v>
      </c>
      <c r="E4" s="76"/>
      <c r="F4" s="36"/>
      <c r="G4" s="37"/>
      <c r="H4" s="37"/>
      <c r="I4" s="37"/>
      <c r="J4" s="37"/>
      <c r="K4" s="39"/>
      <c r="L4" s="76" t="s">
        <v>571</v>
      </c>
      <c r="M4" s="76"/>
      <c r="N4" s="37"/>
      <c r="O4" s="37"/>
      <c r="P4" s="37"/>
      <c r="Q4" s="37"/>
      <c r="R4" s="37"/>
      <c r="S4" s="38"/>
    </row>
    <row r="5" spans="2:19" ht="16.8" x14ac:dyDescent="0.4">
      <c r="B5" s="40" t="s">
        <v>572</v>
      </c>
      <c r="C5" s="41"/>
      <c r="D5" s="74" t="s">
        <v>577</v>
      </c>
      <c r="E5" s="72"/>
      <c r="F5" s="72"/>
      <c r="G5" s="72"/>
      <c r="H5" s="72"/>
      <c r="I5" s="72"/>
      <c r="J5" s="43"/>
      <c r="K5" s="44"/>
      <c r="L5" s="72" t="s">
        <v>580</v>
      </c>
      <c r="M5" s="72"/>
      <c r="N5" s="72"/>
      <c r="O5" s="72"/>
      <c r="P5" s="72"/>
      <c r="Q5" s="72"/>
      <c r="R5" s="72"/>
      <c r="S5" s="73"/>
    </row>
    <row r="6" spans="2:19" ht="16.8" x14ac:dyDescent="0.4">
      <c r="B6" s="40" t="s">
        <v>573</v>
      </c>
      <c r="C6" s="41"/>
      <c r="D6" s="74" t="s">
        <v>588</v>
      </c>
      <c r="E6" s="72"/>
      <c r="F6" s="72"/>
      <c r="G6" s="72"/>
      <c r="H6" s="72"/>
      <c r="I6" s="72"/>
      <c r="J6" s="42"/>
      <c r="K6" s="44"/>
      <c r="L6" s="72" t="s">
        <v>590</v>
      </c>
      <c r="M6" s="72"/>
      <c r="N6" s="72"/>
      <c r="O6" s="72"/>
      <c r="P6" s="72"/>
      <c r="Q6" s="72"/>
      <c r="R6" s="72"/>
      <c r="S6" s="73"/>
    </row>
    <row r="7" spans="2:19" ht="16.8" x14ac:dyDescent="0.4">
      <c r="B7" s="40" t="s">
        <v>574</v>
      </c>
      <c r="C7" s="41"/>
      <c r="D7" s="74" t="s">
        <v>578</v>
      </c>
      <c r="E7" s="72"/>
      <c r="F7" s="72"/>
      <c r="G7" s="72"/>
      <c r="H7" s="72"/>
      <c r="I7" s="72"/>
      <c r="J7" s="43"/>
      <c r="K7" s="44"/>
      <c r="L7" s="72" t="s">
        <v>581</v>
      </c>
      <c r="M7" s="72"/>
      <c r="N7" s="72"/>
      <c r="O7" s="72"/>
      <c r="P7" s="72"/>
      <c r="Q7" s="72"/>
      <c r="R7" s="72"/>
      <c r="S7" s="73"/>
    </row>
    <row r="8" spans="2:19" ht="19.2" customHeight="1" x14ac:dyDescent="0.4">
      <c r="B8" s="40" t="s">
        <v>575</v>
      </c>
      <c r="C8" s="41"/>
      <c r="D8" s="74" t="s">
        <v>589</v>
      </c>
      <c r="E8" s="72"/>
      <c r="F8" s="72"/>
      <c r="G8" s="72"/>
      <c r="H8" s="72"/>
      <c r="I8" s="72"/>
      <c r="J8" s="72"/>
      <c r="K8" s="75"/>
      <c r="L8" s="72" t="s">
        <v>582</v>
      </c>
      <c r="M8" s="72"/>
      <c r="N8" s="72"/>
      <c r="O8" s="72"/>
      <c r="P8" s="72"/>
      <c r="Q8" s="72"/>
      <c r="R8" s="72"/>
      <c r="S8" s="73"/>
    </row>
    <row r="9" spans="2:19" ht="16.8" x14ac:dyDescent="0.4">
      <c r="B9" s="40" t="s">
        <v>576</v>
      </c>
      <c r="C9" s="45"/>
      <c r="D9" s="74" t="s">
        <v>579</v>
      </c>
      <c r="E9" s="72"/>
      <c r="F9" s="72"/>
      <c r="G9" s="72"/>
      <c r="H9" s="72"/>
      <c r="I9" s="72"/>
      <c r="J9" s="46"/>
      <c r="K9" s="44"/>
      <c r="L9" s="72" t="s">
        <v>591</v>
      </c>
      <c r="M9" s="72"/>
      <c r="N9" s="72"/>
      <c r="O9" s="72"/>
      <c r="P9" s="72"/>
      <c r="Q9" s="72"/>
      <c r="R9" s="72"/>
      <c r="S9" s="73"/>
    </row>
  </sheetData>
  <mergeCells count="14">
    <mergeCell ref="B2:C2"/>
    <mergeCell ref="B4:C4"/>
    <mergeCell ref="D4:E4"/>
    <mergeCell ref="D5:I5"/>
    <mergeCell ref="D6:I6"/>
    <mergeCell ref="L6:S6"/>
    <mergeCell ref="D8:K8"/>
    <mergeCell ref="D9:I9"/>
    <mergeCell ref="L4:M4"/>
    <mergeCell ref="L7:S7"/>
    <mergeCell ref="L5:S5"/>
    <mergeCell ref="L8:S8"/>
    <mergeCell ref="L9:S9"/>
    <mergeCell ref="D7:I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Arsalan</cp:lastModifiedBy>
  <dcterms:created xsi:type="dcterms:W3CDTF">2026-08-09T05:01:51Z</dcterms:created>
  <dcterms:modified xsi:type="dcterms:W3CDTF">2026-08-28T14:56:45Z</dcterms:modified>
</cp:coreProperties>
</file>